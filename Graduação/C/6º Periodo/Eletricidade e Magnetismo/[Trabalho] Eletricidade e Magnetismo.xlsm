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bookViews>
    <workbookView xWindow="0" yWindow="0" windowWidth="19200" windowHeight="6945"/>
  </bookViews>
  <sheets>
    <sheet name="Entradas" sheetId="1" r:id="rId1"/>
    <sheet name="Saidas" sheetId="9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F16" i="9"/>
  <c r="P16" i="9"/>
  <c r="F2" i="9"/>
  <c r="C12" i="1"/>
  <c r="I12" i="1"/>
  <c r="I11" i="1"/>
  <c r="I10" i="1"/>
  <c r="I9" i="1"/>
  <c r="I8" i="1"/>
  <c r="C8" i="1"/>
  <c r="C11" i="1"/>
  <c r="C10" i="1"/>
  <c r="C9" i="1"/>
</calcChain>
</file>

<file path=xl/sharedStrings.xml><?xml version="1.0" encoding="utf-8"?>
<sst xmlns="http://schemas.openxmlformats.org/spreadsheetml/2006/main" count="16" uniqueCount="9">
  <si>
    <t>Trabalho de eletricidade e magnetismo</t>
  </si>
  <si>
    <t>Escolha o tipo do circuito:</t>
  </si>
  <si>
    <t>Entradas:</t>
  </si>
  <si>
    <t>RC</t>
  </si>
  <si>
    <t>Divisórias:</t>
  </si>
  <si>
    <t>Valor mais ao inicio</t>
  </si>
  <si>
    <t>Valor mais ao fim</t>
  </si>
  <si>
    <t>LC</t>
  </si>
  <si>
    <t>RLC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</si>
</sst>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GAMECUBEN"/>
    </font>
    <font>
      <sz val="11"/>
      <color theme="3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/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7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3" fillId="3" borderId="0" xfId="0" applyFont="1" applyFill="1"/>
    <xf numFmtId="0" fontId="0" fillId="8" borderId="0" xfId="0" applyFill="1" applyBorder="1"/>
    <xf numFmtId="0" fontId="0" fillId="8" borderId="8" xfId="0" applyFill="1" applyBorder="1"/>
    <xf numFmtId="0" fontId="0" fillId="8" borderId="10" xfId="0" applyFill="1" applyBorder="1"/>
    <xf numFmtId="0" fontId="0" fillId="8" borderId="11" xfId="0" applyFill="1" applyBorder="1"/>
    <xf numFmtId="0" fontId="0" fillId="3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1" fillId="9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Saidas!$A$1:$A$101</c:f>
              <c:numCache>
                <c:formatCode>General</c:formatCode>
                <c:ptCount val="10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</c:v>
                </c:pt>
                <c:pt idx="15">
                  <c:v>6</c:v>
                </c:pt>
                <c:pt idx="16">
                  <c:v>6.4</c:v>
                </c:pt>
                <c:pt idx="17">
                  <c:v>6.8</c:v>
                </c:pt>
                <c:pt idx="18">
                  <c:v>7.2</c:v>
                </c:pt>
                <c:pt idx="19">
                  <c:v>7.6</c:v>
                </c:pt>
                <c:pt idx="20">
                  <c:v>8</c:v>
                </c:pt>
                <c:pt idx="21">
                  <c:v>8.4</c:v>
                </c:pt>
                <c:pt idx="22">
                  <c:v>8.8000000000000007</c:v>
                </c:pt>
                <c:pt idx="23">
                  <c:v>9.1999999999999993</c:v>
                </c:pt>
                <c:pt idx="24">
                  <c:v>9.6</c:v>
                </c:pt>
                <c:pt idx="25">
                  <c:v>10</c:v>
                </c:pt>
                <c:pt idx="26">
                  <c:v>10.4</c:v>
                </c:pt>
                <c:pt idx="27">
                  <c:v>10.8</c:v>
                </c:pt>
                <c:pt idx="28">
                  <c:v>11.2</c:v>
                </c:pt>
                <c:pt idx="29">
                  <c:v>11.6</c:v>
                </c:pt>
                <c:pt idx="30">
                  <c:v>12</c:v>
                </c:pt>
                <c:pt idx="31">
                  <c:v>12.4</c:v>
                </c:pt>
                <c:pt idx="32">
                  <c:v>12.8</c:v>
                </c:pt>
                <c:pt idx="33">
                  <c:v>13.2</c:v>
                </c:pt>
                <c:pt idx="34">
                  <c:v>13.6</c:v>
                </c:pt>
                <c:pt idx="35">
                  <c:v>14</c:v>
                </c:pt>
                <c:pt idx="36">
                  <c:v>14.4</c:v>
                </c:pt>
                <c:pt idx="37">
                  <c:v>14.8</c:v>
                </c:pt>
                <c:pt idx="38">
                  <c:v>15.2</c:v>
                </c:pt>
                <c:pt idx="39">
                  <c:v>15.6</c:v>
                </c:pt>
                <c:pt idx="40">
                  <c:v>16</c:v>
                </c:pt>
                <c:pt idx="41">
                  <c:v>16.399999999999999</c:v>
                </c:pt>
                <c:pt idx="42">
                  <c:v>16.8</c:v>
                </c:pt>
                <c:pt idx="43">
                  <c:v>17.2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18.8</c:v>
                </c:pt>
                <c:pt idx="48">
                  <c:v>19.2</c:v>
                </c:pt>
                <c:pt idx="49">
                  <c:v>19.600000000000001</c:v>
                </c:pt>
                <c:pt idx="50">
                  <c:v>20</c:v>
                </c:pt>
                <c:pt idx="51">
                  <c:v>20.399999999999999</c:v>
                </c:pt>
                <c:pt idx="52">
                  <c:v>20.8</c:v>
                </c:pt>
                <c:pt idx="53">
                  <c:v>21.2</c:v>
                </c:pt>
                <c:pt idx="54">
                  <c:v>21.6</c:v>
                </c:pt>
                <c:pt idx="55">
                  <c:v>22</c:v>
                </c:pt>
                <c:pt idx="56">
                  <c:v>22.4</c:v>
                </c:pt>
                <c:pt idx="57">
                  <c:v>22.8</c:v>
                </c:pt>
                <c:pt idx="58">
                  <c:v>23.2</c:v>
                </c:pt>
                <c:pt idx="59">
                  <c:v>23.6</c:v>
                </c:pt>
                <c:pt idx="60">
                  <c:v>24</c:v>
                </c:pt>
                <c:pt idx="61">
                  <c:v>24.4</c:v>
                </c:pt>
                <c:pt idx="62">
                  <c:v>24.8</c:v>
                </c:pt>
                <c:pt idx="63">
                  <c:v>25.2</c:v>
                </c:pt>
                <c:pt idx="64">
                  <c:v>25.6</c:v>
                </c:pt>
                <c:pt idx="65">
                  <c:v>26</c:v>
                </c:pt>
                <c:pt idx="66">
                  <c:v>26.4</c:v>
                </c:pt>
                <c:pt idx="67">
                  <c:v>26.8</c:v>
                </c:pt>
                <c:pt idx="68">
                  <c:v>27.2</c:v>
                </c:pt>
                <c:pt idx="69">
                  <c:v>27.6</c:v>
                </c:pt>
                <c:pt idx="70">
                  <c:v>28</c:v>
                </c:pt>
                <c:pt idx="71">
                  <c:v>28.4</c:v>
                </c:pt>
                <c:pt idx="72">
                  <c:v>28.8</c:v>
                </c:pt>
                <c:pt idx="73">
                  <c:v>29.2</c:v>
                </c:pt>
                <c:pt idx="74">
                  <c:v>29.6</c:v>
                </c:pt>
                <c:pt idx="75">
                  <c:v>30</c:v>
                </c:pt>
                <c:pt idx="76">
                  <c:v>30.4</c:v>
                </c:pt>
                <c:pt idx="77">
                  <c:v>30.8</c:v>
                </c:pt>
                <c:pt idx="78">
                  <c:v>31.2</c:v>
                </c:pt>
                <c:pt idx="79">
                  <c:v>31.6</c:v>
                </c:pt>
                <c:pt idx="80">
                  <c:v>32</c:v>
                </c:pt>
                <c:pt idx="81">
                  <c:v>32.4</c:v>
                </c:pt>
                <c:pt idx="82">
                  <c:v>32.799999999999997</c:v>
                </c:pt>
                <c:pt idx="83">
                  <c:v>33.200000000000003</c:v>
                </c:pt>
                <c:pt idx="84">
                  <c:v>33.6</c:v>
                </c:pt>
                <c:pt idx="85">
                  <c:v>34</c:v>
                </c:pt>
                <c:pt idx="86">
                  <c:v>34.4</c:v>
                </c:pt>
                <c:pt idx="87">
                  <c:v>34.799999999999997</c:v>
                </c:pt>
                <c:pt idx="88">
                  <c:v>35.200000000000003</c:v>
                </c:pt>
                <c:pt idx="89">
                  <c:v>35.6</c:v>
                </c:pt>
                <c:pt idx="90">
                  <c:v>36</c:v>
                </c:pt>
                <c:pt idx="91">
                  <c:v>36.4</c:v>
                </c:pt>
                <c:pt idx="92">
                  <c:v>36.799999999999997</c:v>
                </c:pt>
                <c:pt idx="93">
                  <c:v>37.200000000000003</c:v>
                </c:pt>
                <c:pt idx="94">
                  <c:v>37.6</c:v>
                </c:pt>
                <c:pt idx="95">
                  <c:v>38</c:v>
                </c:pt>
                <c:pt idx="96">
                  <c:v>38.4</c:v>
                </c:pt>
                <c:pt idx="97">
                  <c:v>38.799999999999997</c:v>
                </c:pt>
                <c:pt idx="98">
                  <c:v>39.200000000000003</c:v>
                </c:pt>
                <c:pt idx="99">
                  <c:v>39.6</c:v>
                </c:pt>
                <c:pt idx="100">
                  <c:v>40</c:v>
                </c:pt>
              </c:numCache>
            </c:numRef>
          </c:xVal>
          <c:yVal>
            <c:numRef>
              <c:f>Saidas!$B$1:$B$101</c:f>
              <c:numCache>
                <c:formatCode>General</c:formatCode>
                <c:ptCount val="101"/>
                <c:pt idx="0">
                  <c:v>0</c:v>
                </c:pt>
                <c:pt idx="1">
                  <c:v>640.11641680033961</c:v>
                </c:pt>
                <c:pt idx="2">
                  <c:v>1143.6498245815774</c:v>
                </c:pt>
                <c:pt idx="3">
                  <c:v>1539.7432321200847</c:v>
                </c:pt>
                <c:pt idx="4">
                  <c:v>1851.3213420746638</c:v>
                </c:pt>
                <c:pt idx="5">
                  <c:v>2096.4173642633932</c:v>
                </c:pt>
                <c:pt idx="6">
                  <c:v>2289.2167239536348</c:v>
                </c:pt>
                <c:pt idx="7">
                  <c:v>2440.8780718817698</c:v>
                </c:pt>
                <c:pt idx="8">
                  <c:v>2560.1791136089496</c:v>
                </c:pt>
                <c:pt idx="9">
                  <c:v>2654.0246368858125</c:v>
                </c:pt>
                <c:pt idx="10">
                  <c:v>2727.8461401317627</c:v>
                </c:pt>
                <c:pt idx="11">
                  <c:v>2785.9161913308417</c:v>
                </c:pt>
                <c:pt idx="12">
                  <c:v>2831.5957114975986</c:v>
                </c:pt>
                <c:pt idx="13">
                  <c:v>2867.5284947409214</c:v>
                </c:pt>
                <c:pt idx="14">
                  <c:v>2895.7942231657844</c:v>
                </c:pt>
                <c:pt idx="15">
                  <c:v>2918.0288326581226</c:v>
                </c:pt>
                <c:pt idx="16">
                  <c:v>2935.51919596473</c:v>
                </c:pt>
                <c:pt idx="17">
                  <c:v>2949.277603041884</c:v>
                </c:pt>
                <c:pt idx="18">
                  <c:v>2960.1003493726689</c:v>
                </c:pt>
                <c:pt idx="19">
                  <c:v>2968.6138231697196</c:v>
                </c:pt>
                <c:pt idx="20">
                  <c:v>2975.3107588529401</c:v>
                </c:pt>
                <c:pt idx="21">
                  <c:v>2980.5787550451319</c:v>
                </c:pt>
                <c:pt idx="22">
                  <c:v>2984.7227076219024</c:v>
                </c:pt>
                <c:pt idx="23">
                  <c:v>2987.9824561737287</c:v>
                </c:pt>
                <c:pt idx="24">
                  <c:v>2990.5466652046666</c:v>
                </c:pt>
                <c:pt idx="25">
                  <c:v>2992.5637434700006</c:v>
                </c:pt>
                <c:pt idx="26">
                  <c:v>2994.1504334314645</c:v>
                </c:pt>
                <c:pt idx="27">
                  <c:v>2995.3985679620268</c:v>
                </c:pt>
                <c:pt idx="28">
                  <c:v>2996.3803853581262</c:v>
                </c:pt>
                <c:pt idx="29">
                  <c:v>2997.1527102763771</c:v>
                </c:pt>
                <c:pt idx="30">
                  <c:v>2997.7602425748701</c:v>
                </c:pt>
                <c:pt idx="31">
                  <c:v>2998.2381444073621</c:v>
                </c:pt>
                <c:pt idx="32">
                  <c:v>2998.6140753036552</c:v>
                </c:pt>
                <c:pt idx="33">
                  <c:v>2998.9097930205148</c:v>
                </c:pt>
                <c:pt idx="34">
                  <c:v>2999.1424128156077</c:v>
                </c:pt>
                <c:pt idx="35">
                  <c:v>2999.3253980274635</c:v>
                </c:pt>
                <c:pt idx="36">
                  <c:v>2999.4693392932722</c:v>
                </c:pt>
                <c:pt idx="37">
                  <c:v>2999.5825675033147</c:v>
                </c:pt>
                <c:pt idx="38">
                  <c:v>2999.6716359679931</c:v>
                </c:pt>
                <c:pt idx="39">
                  <c:v>2999.7416997038508</c:v>
                </c:pt>
                <c:pt idx="40">
                  <c:v>2999.7968137905273</c:v>
                </c:pt>
                <c:pt idx="41">
                  <c:v>2999.8401680666443</c:v>
                </c:pt>
                <c:pt idx="42">
                  <c:v>2999.8742717481346</c:v>
                </c:pt>
                <c:pt idx="43">
                  <c:v>2999.9010986541593</c:v>
                </c:pt>
                <c:pt idx="44">
                  <c:v>2999.9222014458646</c:v>
                </c:pt>
                <c:pt idx="45">
                  <c:v>2999.9388014897668</c:v>
                </c:pt>
                <c:pt idx="46">
                  <c:v>2999.9518595467944</c:v>
                </c:pt>
                <c:pt idx="47">
                  <c:v>2999.9621313782641</c:v>
                </c:pt>
                <c:pt idx="48">
                  <c:v>2999.9702114870825</c:v>
                </c:pt>
                <c:pt idx="49">
                  <c:v>2999.9765675257995</c:v>
                </c:pt>
                <c:pt idx="50">
                  <c:v>2999.98156736294</c:v>
                </c:pt>
                <c:pt idx="51">
                  <c:v>2999.9855003741359</c:v>
                </c:pt>
                <c:pt idx="52">
                  <c:v>2999.9885941903199</c:v>
                </c:pt>
                <c:pt idx="53">
                  <c:v>2999.9910278723278</c:v>
                </c:pt>
                <c:pt idx="54">
                  <c:v>2999.9929422743999</c:v>
                </c:pt>
                <c:pt idx="55">
                  <c:v>2999.9944481964071</c:v>
                </c:pt>
                <c:pt idx="56">
                  <c:v>2999.9956327966147</c:v>
                </c:pt>
                <c:pt idx="57">
                  <c:v>2999.9965646361425</c:v>
                </c:pt>
                <c:pt idx="58">
                  <c:v>2999.9972976470767</c:v>
                </c:pt>
                <c:pt idx="59">
                  <c:v>2999.9978742538997</c:v>
                </c:pt>
                <c:pt idx="60">
                  <c:v>2999.9983278288919</c:v>
                </c:pt>
                <c:pt idx="61">
                  <c:v>2999.9986846236184</c:v>
                </c:pt>
                <c:pt idx="62">
                  <c:v>2999.9989652882905</c:v>
                </c:pt>
                <c:pt idx="63">
                  <c:v>2999.9991860669411</c:v>
                </c:pt>
                <c:pt idx="64">
                  <c:v>2999.9993597375787</c:v>
                </c:pt>
                <c:pt idx="65">
                  <c:v>2999.9994963517411</c:v>
                </c:pt>
                <c:pt idx="66">
                  <c:v>2999.9996038162471</c:v>
                </c:pt>
                <c:pt idx="67">
                  <c:v>2999.999688350822</c:v>
                </c:pt>
                <c:pt idx="68">
                  <c:v>2999.9997548480737</c:v>
                </c:pt>
                <c:pt idx="69">
                  <c:v>2999.9998071566647</c:v>
                </c:pt>
                <c:pt idx="70">
                  <c:v>2999.9998483040595</c:v>
                </c:pt>
                <c:pt idx="71">
                  <c:v>2999.9998806717467</c:v>
                </c:pt>
                <c:pt idx="72">
                  <c:v>2999.9999061330714</c:v>
                </c:pt>
                <c:pt idx="73">
                  <c:v>2999.999926161659</c:v>
                </c:pt>
                <c:pt idx="74">
                  <c:v>2999.9999419167034</c:v>
                </c:pt>
                <c:pt idx="75">
                  <c:v>2999.9999543100607</c:v>
                </c:pt>
                <c:pt idx="76">
                  <c:v>2999.9999640590208</c:v>
                </c:pt>
                <c:pt idx="77">
                  <c:v>2999.9999717278242</c:v>
                </c:pt>
                <c:pt idx="78">
                  <c:v>2999.9999777603189</c:v>
                </c:pt>
                <c:pt idx="79">
                  <c:v>2999.9999825056475</c:v>
                </c:pt>
                <c:pt idx="80">
                  <c:v>2999.9999862384548</c:v>
                </c:pt>
                <c:pt idx="81">
                  <c:v>2999.9999891747848</c:v>
                </c:pt>
                <c:pt idx="82">
                  <c:v>2999.9999914845844</c:v>
                </c:pt>
                <c:pt idx="83">
                  <c:v>2999.999993301537</c:v>
                </c:pt>
                <c:pt idx="84">
                  <c:v>2999.9999947308024</c:v>
                </c:pt>
                <c:pt idx="85">
                  <c:v>2999.999995855102</c:v>
                </c:pt>
                <c:pt idx="86">
                  <c:v>2999.9999967395079</c:v>
                </c:pt>
                <c:pt idx="87">
                  <c:v>2999.9999974352058</c:v>
                </c:pt>
                <c:pt idx="88">
                  <c:v>2999.9999979824615</c:v>
                </c:pt>
                <c:pt idx="89">
                  <c:v>2999.9999984129481</c:v>
                </c:pt>
                <c:pt idx="90">
                  <c:v>2999.9999987515807</c:v>
                </c:pt>
                <c:pt idx="91">
                  <c:v>2999.9999990179585</c:v>
                </c:pt>
                <c:pt idx="92">
                  <c:v>2999.9999992274988</c:v>
                </c:pt>
                <c:pt idx="93">
                  <c:v>2999.9999993923293</c:v>
                </c:pt>
                <c:pt idx="94">
                  <c:v>2999.9999995219891</c:v>
                </c:pt>
                <c:pt idx="95">
                  <c:v>2999.9999996239835</c:v>
                </c:pt>
                <c:pt idx="96">
                  <c:v>2999.999999704215</c:v>
                </c:pt>
                <c:pt idx="97">
                  <c:v>2999.9999997673272</c:v>
                </c:pt>
                <c:pt idx="98">
                  <c:v>2999.9999998169733</c:v>
                </c:pt>
                <c:pt idx="99">
                  <c:v>2999.9999998560256</c:v>
                </c:pt>
                <c:pt idx="100">
                  <c:v>2999.9999998867461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F5-41C3-BDDC-978C06F7D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15136"/>
        <c:axId val="131517056"/>
      </c:scatterChart>
      <c:valAx>
        <c:axId val="13151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517056"/>
        <c:crosses val="autoZero"/>
        <c:crossBetween val="midCat"/>
      </c:valAx>
      <c:valAx>
        <c:axId val="1315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51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Saidas!$A$1:$A$101</c:f>
              <c:numCache>
                <c:formatCode>General</c:formatCode>
                <c:ptCount val="10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</c:v>
                </c:pt>
                <c:pt idx="15">
                  <c:v>6</c:v>
                </c:pt>
                <c:pt idx="16">
                  <c:v>6.4</c:v>
                </c:pt>
                <c:pt idx="17">
                  <c:v>6.8</c:v>
                </c:pt>
                <c:pt idx="18">
                  <c:v>7.2</c:v>
                </c:pt>
                <c:pt idx="19">
                  <c:v>7.6</c:v>
                </c:pt>
                <c:pt idx="20">
                  <c:v>8</c:v>
                </c:pt>
                <c:pt idx="21">
                  <c:v>8.4</c:v>
                </c:pt>
                <c:pt idx="22">
                  <c:v>8.8000000000000007</c:v>
                </c:pt>
                <c:pt idx="23">
                  <c:v>9.1999999999999993</c:v>
                </c:pt>
                <c:pt idx="24">
                  <c:v>9.6</c:v>
                </c:pt>
                <c:pt idx="25">
                  <c:v>10</c:v>
                </c:pt>
                <c:pt idx="26">
                  <c:v>10.4</c:v>
                </c:pt>
                <c:pt idx="27">
                  <c:v>10.8</c:v>
                </c:pt>
                <c:pt idx="28">
                  <c:v>11.2</c:v>
                </c:pt>
                <c:pt idx="29">
                  <c:v>11.6</c:v>
                </c:pt>
                <c:pt idx="30">
                  <c:v>12</c:v>
                </c:pt>
                <c:pt idx="31">
                  <c:v>12.4</c:v>
                </c:pt>
                <c:pt idx="32">
                  <c:v>12.8</c:v>
                </c:pt>
                <c:pt idx="33">
                  <c:v>13.2</c:v>
                </c:pt>
                <c:pt idx="34">
                  <c:v>13.6</c:v>
                </c:pt>
                <c:pt idx="35">
                  <c:v>14</c:v>
                </c:pt>
                <c:pt idx="36">
                  <c:v>14.4</c:v>
                </c:pt>
                <c:pt idx="37">
                  <c:v>14.8</c:v>
                </c:pt>
                <c:pt idx="38">
                  <c:v>15.2</c:v>
                </c:pt>
                <c:pt idx="39">
                  <c:v>15.6</c:v>
                </c:pt>
                <c:pt idx="40">
                  <c:v>16</c:v>
                </c:pt>
                <c:pt idx="41">
                  <c:v>16.399999999999999</c:v>
                </c:pt>
                <c:pt idx="42">
                  <c:v>16.8</c:v>
                </c:pt>
                <c:pt idx="43">
                  <c:v>17.2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18.8</c:v>
                </c:pt>
                <c:pt idx="48">
                  <c:v>19.2</c:v>
                </c:pt>
                <c:pt idx="49">
                  <c:v>19.600000000000001</c:v>
                </c:pt>
                <c:pt idx="50">
                  <c:v>20</c:v>
                </c:pt>
                <c:pt idx="51">
                  <c:v>20.399999999999999</c:v>
                </c:pt>
                <c:pt idx="52">
                  <c:v>20.8</c:v>
                </c:pt>
                <c:pt idx="53">
                  <c:v>21.2</c:v>
                </c:pt>
                <c:pt idx="54">
                  <c:v>21.6</c:v>
                </c:pt>
                <c:pt idx="55">
                  <c:v>22</c:v>
                </c:pt>
                <c:pt idx="56">
                  <c:v>22.4</c:v>
                </c:pt>
                <c:pt idx="57">
                  <c:v>22.8</c:v>
                </c:pt>
                <c:pt idx="58">
                  <c:v>23.2</c:v>
                </c:pt>
                <c:pt idx="59">
                  <c:v>23.6</c:v>
                </c:pt>
                <c:pt idx="60">
                  <c:v>24</c:v>
                </c:pt>
                <c:pt idx="61">
                  <c:v>24.4</c:v>
                </c:pt>
                <c:pt idx="62">
                  <c:v>24.8</c:v>
                </c:pt>
                <c:pt idx="63">
                  <c:v>25.2</c:v>
                </c:pt>
                <c:pt idx="64">
                  <c:v>25.6</c:v>
                </c:pt>
                <c:pt idx="65">
                  <c:v>26</c:v>
                </c:pt>
                <c:pt idx="66">
                  <c:v>26.4</c:v>
                </c:pt>
                <c:pt idx="67">
                  <c:v>26.8</c:v>
                </c:pt>
                <c:pt idx="68">
                  <c:v>27.2</c:v>
                </c:pt>
                <c:pt idx="69">
                  <c:v>27.6</c:v>
                </c:pt>
                <c:pt idx="70">
                  <c:v>28</c:v>
                </c:pt>
                <c:pt idx="71">
                  <c:v>28.4</c:v>
                </c:pt>
                <c:pt idx="72">
                  <c:v>28.8</c:v>
                </c:pt>
                <c:pt idx="73">
                  <c:v>29.2</c:v>
                </c:pt>
                <c:pt idx="74">
                  <c:v>29.6</c:v>
                </c:pt>
                <c:pt idx="75">
                  <c:v>30</c:v>
                </c:pt>
                <c:pt idx="76">
                  <c:v>30.4</c:v>
                </c:pt>
                <c:pt idx="77">
                  <c:v>30.8</c:v>
                </c:pt>
                <c:pt idx="78">
                  <c:v>31.2</c:v>
                </c:pt>
                <c:pt idx="79">
                  <c:v>31.6</c:v>
                </c:pt>
                <c:pt idx="80">
                  <c:v>32</c:v>
                </c:pt>
                <c:pt idx="81">
                  <c:v>32.4</c:v>
                </c:pt>
                <c:pt idx="82">
                  <c:v>32.799999999999997</c:v>
                </c:pt>
                <c:pt idx="83">
                  <c:v>33.200000000000003</c:v>
                </c:pt>
                <c:pt idx="84">
                  <c:v>33.6</c:v>
                </c:pt>
                <c:pt idx="85">
                  <c:v>34</c:v>
                </c:pt>
                <c:pt idx="86">
                  <c:v>34.4</c:v>
                </c:pt>
                <c:pt idx="87">
                  <c:v>34.799999999999997</c:v>
                </c:pt>
                <c:pt idx="88">
                  <c:v>35.200000000000003</c:v>
                </c:pt>
                <c:pt idx="89">
                  <c:v>35.6</c:v>
                </c:pt>
                <c:pt idx="90">
                  <c:v>36</c:v>
                </c:pt>
                <c:pt idx="91">
                  <c:v>36.4</c:v>
                </c:pt>
                <c:pt idx="92">
                  <c:v>36.799999999999997</c:v>
                </c:pt>
                <c:pt idx="93">
                  <c:v>37.200000000000003</c:v>
                </c:pt>
                <c:pt idx="94">
                  <c:v>37.6</c:v>
                </c:pt>
                <c:pt idx="95">
                  <c:v>38</c:v>
                </c:pt>
                <c:pt idx="96">
                  <c:v>38.4</c:v>
                </c:pt>
                <c:pt idx="97">
                  <c:v>38.799999999999997</c:v>
                </c:pt>
                <c:pt idx="98">
                  <c:v>39.200000000000003</c:v>
                </c:pt>
                <c:pt idx="99">
                  <c:v>39.6</c:v>
                </c:pt>
                <c:pt idx="100">
                  <c:v>40</c:v>
                </c:pt>
              </c:numCache>
            </c:numRef>
          </c:xVal>
          <c:yVal>
            <c:numRef>
              <c:f>Saidas!$C$1:$C$101</c:f>
              <c:numCache>
                <c:formatCode>General</c:formatCode>
                <c:ptCount val="101"/>
                <c:pt idx="0">
                  <c:v>0.5</c:v>
                </c:pt>
                <c:pt idx="1">
                  <c:v>0.39331393053327673</c:v>
                </c:pt>
                <c:pt idx="2">
                  <c:v>0.30939169590307042</c:v>
                </c:pt>
                <c:pt idx="3">
                  <c:v>0.24337612797998584</c:v>
                </c:pt>
                <c:pt idx="4">
                  <c:v>0.19144644298755603</c:v>
                </c:pt>
                <c:pt idx="5">
                  <c:v>0.15059710595610107</c:v>
                </c:pt>
                <c:pt idx="6">
                  <c:v>0.11846387934106088</c:v>
                </c:pt>
                <c:pt idx="7">
                  <c:v>9.3186988019705014E-2</c:v>
                </c:pt>
                <c:pt idx="8">
                  <c:v>7.3303481065175077E-2</c:v>
                </c:pt>
                <c:pt idx="9">
                  <c:v>5.7662560519031257E-2</c:v>
                </c:pt>
                <c:pt idx="10">
                  <c:v>4.5358976644706256E-2</c:v>
                </c:pt>
                <c:pt idx="11">
                  <c:v>3.5680634778193027E-2</c:v>
                </c:pt>
                <c:pt idx="12">
                  <c:v>2.8067381417066863E-2</c:v>
                </c:pt>
                <c:pt idx="13">
                  <c:v>2.207858420984643E-2</c:v>
                </c:pt>
                <c:pt idx="14">
                  <c:v>1.7367629472369289E-2</c:v>
                </c:pt>
                <c:pt idx="15">
                  <c:v>1.3661861223646285E-2</c:v>
                </c:pt>
                <c:pt idx="16">
                  <c:v>1.0746800672544961E-2</c:v>
                </c:pt>
                <c:pt idx="17">
                  <c:v>8.4537328263526394E-3</c:v>
                </c:pt>
                <c:pt idx="18">
                  <c:v>6.6499417712218836E-3</c:v>
                </c:pt>
                <c:pt idx="19">
                  <c:v>5.2310294717134017E-3</c:v>
                </c:pt>
                <c:pt idx="20">
                  <c:v>4.1148735245100151E-3</c:v>
                </c:pt>
                <c:pt idx="21">
                  <c:v>3.2368741591447025E-3</c:v>
                </c:pt>
                <c:pt idx="22">
                  <c:v>2.5462153963495952E-3</c:v>
                </c:pt>
                <c:pt idx="23">
                  <c:v>2.0029239710452102E-3</c:v>
                </c:pt>
                <c:pt idx="24">
                  <c:v>1.5755557992222207E-3</c:v>
                </c:pt>
                <c:pt idx="25">
                  <c:v>1.2393760883331792E-3</c:v>
                </c:pt>
                <c:pt idx="26">
                  <c:v>9.7492776142256031E-4</c:v>
                </c:pt>
                <c:pt idx="27">
                  <c:v>7.6690533966223152E-4</c:v>
                </c:pt>
                <c:pt idx="28">
                  <c:v>6.0326910697902072E-4</c:v>
                </c:pt>
                <c:pt idx="29">
                  <c:v>4.7454828727043681E-4</c:v>
                </c:pt>
                <c:pt idx="30">
                  <c:v>3.7329290418833993E-4</c:v>
                </c:pt>
                <c:pt idx="31">
                  <c:v>2.9364259877299564E-4</c:v>
                </c:pt>
                <c:pt idx="32">
                  <c:v>2.3098744939082565E-4</c:v>
                </c:pt>
                <c:pt idx="33">
                  <c:v>1.8170116324752391E-4</c:v>
                </c:pt>
                <c:pt idx="34">
                  <c:v>1.4293119739870435E-4</c:v>
                </c:pt>
                <c:pt idx="35">
                  <c:v>1.124336620894241E-4</c:v>
                </c:pt>
                <c:pt idx="36">
                  <c:v>8.8443451121283294E-5</c:v>
                </c:pt>
                <c:pt idx="37">
                  <c:v>6.9572082780879323E-5</c:v>
                </c:pt>
                <c:pt idx="38">
                  <c:v>5.472733866786838E-5</c:v>
                </c:pt>
                <c:pt idx="39">
                  <c:v>4.3050049358170176E-5</c:v>
                </c:pt>
                <c:pt idx="40">
                  <c:v>3.3864368245426949E-5</c:v>
                </c:pt>
                <c:pt idx="41">
                  <c:v>2.6638655559270356E-5</c:v>
                </c:pt>
                <c:pt idx="42">
                  <c:v>2.0954708644277451E-5</c:v>
                </c:pt>
                <c:pt idx="43">
                  <c:v>1.6483557640120811E-5</c:v>
                </c:pt>
                <c:pt idx="44">
                  <c:v>1.2966425689215454E-5</c:v>
                </c:pt>
                <c:pt idx="45">
                  <c:v>1.019975170558598E-5</c:v>
                </c:pt>
                <c:pt idx="46">
                  <c:v>8.0234088675750263E-6</c:v>
                </c:pt>
                <c:pt idx="47">
                  <c:v>6.3114369559629593E-6</c:v>
                </c:pt>
                <c:pt idx="48">
                  <c:v>4.9647521529255406E-6</c:v>
                </c:pt>
                <c:pt idx="49">
                  <c:v>3.9054123667813837E-6</c:v>
                </c:pt>
                <c:pt idx="50">
                  <c:v>3.0721061766641049E-6</c:v>
                </c:pt>
                <c:pt idx="51">
                  <c:v>2.4166043107186359E-6</c:v>
                </c:pt>
                <c:pt idx="52">
                  <c:v>1.9009682799848093E-6</c:v>
                </c:pt>
                <c:pt idx="53">
                  <c:v>1.495354612039818E-6</c:v>
                </c:pt>
                <c:pt idx="54">
                  <c:v>1.1762876000048855E-6</c:v>
                </c:pt>
                <c:pt idx="55">
                  <c:v>9.2530059879095408E-7</c:v>
                </c:pt>
                <c:pt idx="56">
                  <c:v>7.2786723087053036E-7</c:v>
                </c:pt>
                <c:pt idx="57">
                  <c:v>5.7256064296011946E-7</c:v>
                </c:pt>
                <c:pt idx="58">
                  <c:v>4.5039215390260998E-7</c:v>
                </c:pt>
                <c:pt idx="59">
                  <c:v>3.5429101666556732E-7</c:v>
                </c:pt>
                <c:pt idx="60">
                  <c:v>2.7869518463473031E-7</c:v>
                </c:pt>
                <c:pt idx="61">
                  <c:v>2.1922939697876565E-7</c:v>
                </c:pt>
                <c:pt idx="62">
                  <c:v>1.7245195162831702E-7</c:v>
                </c:pt>
                <c:pt idx="63">
                  <c:v>1.3565550984613546E-7</c:v>
                </c:pt>
                <c:pt idx="64">
                  <c:v>1.0671040355215849E-7</c:v>
                </c:pt>
                <c:pt idx="65">
                  <c:v>8.3941376499783014E-8</c:v>
                </c:pt>
                <c:pt idx="66">
                  <c:v>6.6030625451006657E-8</c:v>
                </c:pt>
                <c:pt idx="67">
                  <c:v>5.1941529663411988E-8</c:v>
                </c:pt>
                <c:pt idx="68">
                  <c:v>4.0858654379654776E-8</c:v>
                </c:pt>
                <c:pt idx="69">
                  <c:v>3.2140555900725337E-8</c:v>
                </c:pt>
                <c:pt idx="70">
                  <c:v>2.5282656741677601E-8</c:v>
                </c:pt>
                <c:pt idx="71">
                  <c:v>1.988804219478576E-8</c:v>
                </c:pt>
                <c:pt idx="72">
                  <c:v>1.5644488092485653E-8</c:v>
                </c:pt>
                <c:pt idx="73">
                  <c:v>1.2306390205673173E-8</c:v>
                </c:pt>
                <c:pt idx="74">
                  <c:v>9.6805494049390519E-9</c:v>
                </c:pt>
                <c:pt idx="75">
                  <c:v>7.6149898723563146E-9</c:v>
                </c:pt>
                <c:pt idx="76">
                  <c:v>5.9901631953351233E-9</c:v>
                </c:pt>
                <c:pt idx="77">
                  <c:v>4.7120292617860495E-9</c:v>
                </c:pt>
                <c:pt idx="78">
                  <c:v>3.7066134994817769E-9</c:v>
                </c:pt>
                <c:pt idx="79">
                  <c:v>2.9157254488977566E-9</c:v>
                </c:pt>
                <c:pt idx="80">
                  <c:v>2.2935908733237619E-9</c:v>
                </c:pt>
                <c:pt idx="81">
                  <c:v>1.8042024828444356E-9</c:v>
                </c:pt>
                <c:pt idx="82">
                  <c:v>1.4192359400108907E-9</c:v>
                </c:pt>
                <c:pt idx="83">
                  <c:v>1.11641053183954E-9</c:v>
                </c:pt>
                <c:pt idx="84">
                  <c:v>8.7819962873311213E-10</c:v>
                </c:pt>
                <c:pt idx="85">
                  <c:v>6.9081629553976796E-10</c:v>
                </c:pt>
                <c:pt idx="86">
                  <c:v>5.4341534495037042E-10</c:v>
                </c:pt>
                <c:pt idx="87">
                  <c:v>4.2746565046905233E-10</c:v>
                </c:pt>
                <c:pt idx="88">
                  <c:v>3.3625639030789294E-10</c:v>
                </c:pt>
                <c:pt idx="89">
                  <c:v>2.6450864507785741E-10</c:v>
                </c:pt>
                <c:pt idx="90">
                  <c:v>2.0806986971120819E-10</c:v>
                </c:pt>
                <c:pt idx="91">
                  <c:v>1.636735565633238E-10</c:v>
                </c:pt>
                <c:pt idx="92">
                  <c:v>1.2875017971256316E-10</c:v>
                </c:pt>
                <c:pt idx="93">
                  <c:v>1.0127847847922736E-10</c:v>
                </c:pt>
                <c:pt idx="94">
                  <c:v>7.9668472898189976E-11</c:v>
                </c:pt>
                <c:pt idx="95">
                  <c:v>6.2669440430341736E-11</c:v>
                </c:pt>
                <c:pt idx="96">
                  <c:v>4.929752787995758E-11</c:v>
                </c:pt>
                <c:pt idx="97">
                  <c:v>3.8778808912079876E-11</c:v>
                </c:pt>
                <c:pt idx="98">
                  <c:v>3.0504491509217935E-11</c:v>
                </c:pt>
                <c:pt idx="99">
                  <c:v>2.3995682908818893E-11</c:v>
                </c:pt>
                <c:pt idx="100">
                  <c:v>1.8875672721395489E-11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08-482D-BC07-49005213C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85920"/>
        <c:axId val="131960832"/>
      </c:scatterChart>
      <c:valAx>
        <c:axId val="13158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960832"/>
        <c:crosses val="autoZero"/>
        <c:crossBetween val="midCat"/>
      </c:valAx>
      <c:valAx>
        <c:axId val="1319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58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Saidas!$A$1:$A$101</c:f>
              <c:numCache>
                <c:formatCode>General</c:formatCode>
                <c:ptCount val="10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</c:v>
                </c:pt>
                <c:pt idx="15">
                  <c:v>6</c:v>
                </c:pt>
                <c:pt idx="16">
                  <c:v>6.4</c:v>
                </c:pt>
                <c:pt idx="17">
                  <c:v>6.8</c:v>
                </c:pt>
                <c:pt idx="18">
                  <c:v>7.2</c:v>
                </c:pt>
                <c:pt idx="19">
                  <c:v>7.6</c:v>
                </c:pt>
                <c:pt idx="20">
                  <c:v>8</c:v>
                </c:pt>
                <c:pt idx="21">
                  <c:v>8.4</c:v>
                </c:pt>
                <c:pt idx="22">
                  <c:v>8.8000000000000007</c:v>
                </c:pt>
                <c:pt idx="23">
                  <c:v>9.1999999999999993</c:v>
                </c:pt>
                <c:pt idx="24">
                  <c:v>9.6</c:v>
                </c:pt>
                <c:pt idx="25">
                  <c:v>10</c:v>
                </c:pt>
                <c:pt idx="26">
                  <c:v>10.4</c:v>
                </c:pt>
                <c:pt idx="27">
                  <c:v>10.8</c:v>
                </c:pt>
                <c:pt idx="28">
                  <c:v>11.2</c:v>
                </c:pt>
                <c:pt idx="29">
                  <c:v>11.6</c:v>
                </c:pt>
                <c:pt idx="30">
                  <c:v>12</c:v>
                </c:pt>
                <c:pt idx="31">
                  <c:v>12.4</c:v>
                </c:pt>
                <c:pt idx="32">
                  <c:v>12.8</c:v>
                </c:pt>
                <c:pt idx="33">
                  <c:v>13.2</c:v>
                </c:pt>
                <c:pt idx="34">
                  <c:v>13.6</c:v>
                </c:pt>
                <c:pt idx="35">
                  <c:v>14</c:v>
                </c:pt>
                <c:pt idx="36">
                  <c:v>14.4</c:v>
                </c:pt>
                <c:pt idx="37">
                  <c:v>14.8</c:v>
                </c:pt>
                <c:pt idx="38">
                  <c:v>15.2</c:v>
                </c:pt>
                <c:pt idx="39">
                  <c:v>15.6</c:v>
                </c:pt>
                <c:pt idx="40">
                  <c:v>16</c:v>
                </c:pt>
                <c:pt idx="41">
                  <c:v>16.399999999999999</c:v>
                </c:pt>
                <c:pt idx="42">
                  <c:v>16.8</c:v>
                </c:pt>
                <c:pt idx="43">
                  <c:v>17.2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18.8</c:v>
                </c:pt>
                <c:pt idx="48">
                  <c:v>19.2</c:v>
                </c:pt>
                <c:pt idx="49">
                  <c:v>19.600000000000001</c:v>
                </c:pt>
                <c:pt idx="50">
                  <c:v>20</c:v>
                </c:pt>
                <c:pt idx="51">
                  <c:v>20.399999999999999</c:v>
                </c:pt>
                <c:pt idx="52">
                  <c:v>20.8</c:v>
                </c:pt>
                <c:pt idx="53">
                  <c:v>21.2</c:v>
                </c:pt>
                <c:pt idx="54">
                  <c:v>21.6</c:v>
                </c:pt>
                <c:pt idx="55">
                  <c:v>22</c:v>
                </c:pt>
                <c:pt idx="56">
                  <c:v>22.4</c:v>
                </c:pt>
                <c:pt idx="57">
                  <c:v>22.8</c:v>
                </c:pt>
                <c:pt idx="58">
                  <c:v>23.2</c:v>
                </c:pt>
                <c:pt idx="59">
                  <c:v>23.6</c:v>
                </c:pt>
                <c:pt idx="60">
                  <c:v>24</c:v>
                </c:pt>
                <c:pt idx="61">
                  <c:v>24.4</c:v>
                </c:pt>
                <c:pt idx="62">
                  <c:v>24.8</c:v>
                </c:pt>
                <c:pt idx="63">
                  <c:v>25.2</c:v>
                </c:pt>
                <c:pt idx="64">
                  <c:v>25.6</c:v>
                </c:pt>
                <c:pt idx="65">
                  <c:v>26</c:v>
                </c:pt>
                <c:pt idx="66">
                  <c:v>26.4</c:v>
                </c:pt>
                <c:pt idx="67">
                  <c:v>26.8</c:v>
                </c:pt>
                <c:pt idx="68">
                  <c:v>27.2</c:v>
                </c:pt>
                <c:pt idx="69">
                  <c:v>27.6</c:v>
                </c:pt>
                <c:pt idx="70">
                  <c:v>28</c:v>
                </c:pt>
                <c:pt idx="71">
                  <c:v>28.4</c:v>
                </c:pt>
                <c:pt idx="72">
                  <c:v>28.8</c:v>
                </c:pt>
                <c:pt idx="73">
                  <c:v>29.2</c:v>
                </c:pt>
                <c:pt idx="74">
                  <c:v>29.6</c:v>
                </c:pt>
                <c:pt idx="75">
                  <c:v>30</c:v>
                </c:pt>
                <c:pt idx="76">
                  <c:v>30.4</c:v>
                </c:pt>
                <c:pt idx="77">
                  <c:v>30.8</c:v>
                </c:pt>
                <c:pt idx="78">
                  <c:v>31.2</c:v>
                </c:pt>
                <c:pt idx="79">
                  <c:v>31.6</c:v>
                </c:pt>
                <c:pt idx="80">
                  <c:v>32</c:v>
                </c:pt>
                <c:pt idx="81">
                  <c:v>32.4</c:v>
                </c:pt>
                <c:pt idx="82">
                  <c:v>32.799999999999997</c:v>
                </c:pt>
                <c:pt idx="83">
                  <c:v>33.200000000000003</c:v>
                </c:pt>
                <c:pt idx="84">
                  <c:v>33.6</c:v>
                </c:pt>
                <c:pt idx="85">
                  <c:v>34</c:v>
                </c:pt>
                <c:pt idx="86">
                  <c:v>34.4</c:v>
                </c:pt>
                <c:pt idx="87">
                  <c:v>34.799999999999997</c:v>
                </c:pt>
                <c:pt idx="88">
                  <c:v>35.200000000000003</c:v>
                </c:pt>
                <c:pt idx="89">
                  <c:v>35.6</c:v>
                </c:pt>
                <c:pt idx="90">
                  <c:v>36</c:v>
                </c:pt>
                <c:pt idx="91">
                  <c:v>36.4</c:v>
                </c:pt>
                <c:pt idx="92">
                  <c:v>36.799999999999997</c:v>
                </c:pt>
                <c:pt idx="93">
                  <c:v>37.200000000000003</c:v>
                </c:pt>
                <c:pt idx="94">
                  <c:v>37.6</c:v>
                </c:pt>
                <c:pt idx="95">
                  <c:v>38</c:v>
                </c:pt>
                <c:pt idx="96">
                  <c:v>38.4</c:v>
                </c:pt>
                <c:pt idx="97">
                  <c:v>38.799999999999997</c:v>
                </c:pt>
                <c:pt idx="98">
                  <c:v>39.200000000000003</c:v>
                </c:pt>
                <c:pt idx="99">
                  <c:v>39.6</c:v>
                </c:pt>
                <c:pt idx="100">
                  <c:v>40</c:v>
                </c:pt>
              </c:numCache>
            </c:numRef>
          </c:xVal>
          <c:yVal>
            <c:numRef>
              <c:f>Saidas!$D$1:$D$101</c:f>
              <c:numCache>
                <c:formatCode>General</c:formatCode>
                <c:ptCount val="101"/>
                <c:pt idx="0">
                  <c:v>50</c:v>
                </c:pt>
                <c:pt idx="1">
                  <c:v>39.331393053327673</c:v>
                </c:pt>
                <c:pt idx="2">
                  <c:v>30.939169590307042</c:v>
                </c:pt>
                <c:pt idx="3">
                  <c:v>24.337612797998585</c:v>
                </c:pt>
                <c:pt idx="4">
                  <c:v>19.144644298755605</c:v>
                </c:pt>
                <c:pt idx="5">
                  <c:v>15.059710595610106</c:v>
                </c:pt>
                <c:pt idx="6">
                  <c:v>11.846387934106088</c:v>
                </c:pt>
                <c:pt idx="7">
                  <c:v>9.3186988019705019</c:v>
                </c:pt>
                <c:pt idx="8">
                  <c:v>7.3303481065175076</c:v>
                </c:pt>
                <c:pt idx="9">
                  <c:v>5.7662560519031256</c:v>
                </c:pt>
                <c:pt idx="10">
                  <c:v>4.5358976644706255</c:v>
                </c:pt>
                <c:pt idx="11">
                  <c:v>3.5680634778193028</c:v>
                </c:pt>
                <c:pt idx="12">
                  <c:v>2.8067381417066861</c:v>
                </c:pt>
                <c:pt idx="13">
                  <c:v>2.207858420984643</c:v>
                </c:pt>
                <c:pt idx="14">
                  <c:v>1.7367629472369288</c:v>
                </c:pt>
                <c:pt idx="15">
                  <c:v>1.3661861223646286</c:v>
                </c:pt>
                <c:pt idx="16">
                  <c:v>1.0746800672544961</c:v>
                </c:pt>
                <c:pt idx="17">
                  <c:v>0.8453732826352639</c:v>
                </c:pt>
                <c:pt idx="18">
                  <c:v>0.66499417712218833</c:v>
                </c:pt>
                <c:pt idx="19">
                  <c:v>0.5231029471713402</c:v>
                </c:pt>
                <c:pt idx="20">
                  <c:v>0.41148735245100149</c:v>
                </c:pt>
                <c:pt idx="21">
                  <c:v>0.32368741591447026</c:v>
                </c:pt>
                <c:pt idx="22">
                  <c:v>0.25462153963495954</c:v>
                </c:pt>
                <c:pt idx="23">
                  <c:v>0.20029239710452101</c:v>
                </c:pt>
                <c:pt idx="24">
                  <c:v>0.15755557992222208</c:v>
                </c:pt>
                <c:pt idx="25">
                  <c:v>0.12393760883331792</c:v>
                </c:pt>
                <c:pt idx="26">
                  <c:v>9.749277614225603E-2</c:v>
                </c:pt>
                <c:pt idx="27">
                  <c:v>7.6690533966223148E-2</c:v>
                </c:pt>
                <c:pt idx="28">
                  <c:v>6.0326910697902074E-2</c:v>
                </c:pt>
                <c:pt idx="29">
                  <c:v>4.745482872704368E-2</c:v>
                </c:pt>
                <c:pt idx="30">
                  <c:v>3.7329290418833989E-2</c:v>
                </c:pt>
                <c:pt idx="31">
                  <c:v>2.9364259877299563E-2</c:v>
                </c:pt>
                <c:pt idx="32">
                  <c:v>2.3098744939082566E-2</c:v>
                </c:pt>
                <c:pt idx="33">
                  <c:v>1.8170116324752392E-2</c:v>
                </c:pt>
                <c:pt idx="34">
                  <c:v>1.4293119739870434E-2</c:v>
                </c:pt>
                <c:pt idx="35">
                  <c:v>1.124336620894241E-2</c:v>
                </c:pt>
                <c:pt idx="36">
                  <c:v>8.8443451121283292E-3</c:v>
                </c:pt>
                <c:pt idx="37">
                  <c:v>6.9572082780879323E-3</c:v>
                </c:pt>
                <c:pt idx="38">
                  <c:v>5.4727338667868381E-3</c:v>
                </c:pt>
                <c:pt idx="39">
                  <c:v>4.3050049358170179E-3</c:v>
                </c:pt>
                <c:pt idx="40">
                  <c:v>3.386436824542695E-3</c:v>
                </c:pt>
                <c:pt idx="41">
                  <c:v>2.6638655559270354E-3</c:v>
                </c:pt>
                <c:pt idx="42">
                  <c:v>2.095470864427745E-3</c:v>
                </c:pt>
                <c:pt idx="43">
                  <c:v>1.648355764012081E-3</c:v>
                </c:pt>
                <c:pt idx="44">
                  <c:v>1.2966425689215455E-3</c:v>
                </c:pt>
                <c:pt idx="45">
                  <c:v>1.0199751705585981E-3</c:v>
                </c:pt>
                <c:pt idx="46">
                  <c:v>8.0234088675750262E-4</c:v>
                </c:pt>
                <c:pt idx="47">
                  <c:v>6.3114369559629597E-4</c:v>
                </c:pt>
                <c:pt idx="48">
                  <c:v>4.9647521529255409E-4</c:v>
                </c:pt>
                <c:pt idx="49">
                  <c:v>3.9054123667813835E-4</c:v>
                </c:pt>
                <c:pt idx="50">
                  <c:v>3.0721061766641051E-4</c:v>
                </c:pt>
                <c:pt idx="51">
                  <c:v>2.416604310718636E-4</c:v>
                </c:pt>
                <c:pt idx="52">
                  <c:v>1.9009682799848093E-4</c:v>
                </c:pt>
                <c:pt idx="53">
                  <c:v>1.4953546120398181E-4</c:v>
                </c:pt>
                <c:pt idx="54">
                  <c:v>1.1762876000048855E-4</c:v>
                </c:pt>
                <c:pt idx="55">
                  <c:v>9.2530059879095412E-5</c:v>
                </c:pt>
                <c:pt idx="56">
                  <c:v>7.2786723087053034E-5</c:v>
                </c:pt>
                <c:pt idx="57">
                  <c:v>5.7256064296011944E-5</c:v>
                </c:pt>
                <c:pt idx="58">
                  <c:v>4.5039215390261E-5</c:v>
                </c:pt>
                <c:pt idx="59">
                  <c:v>3.5429101666556734E-5</c:v>
                </c:pt>
                <c:pt idx="60">
                  <c:v>2.7869518463473031E-5</c:v>
                </c:pt>
                <c:pt idx="61">
                  <c:v>2.1922939697876564E-5</c:v>
                </c:pt>
                <c:pt idx="62">
                  <c:v>1.7245195162831701E-5</c:v>
                </c:pt>
                <c:pt idx="63">
                  <c:v>1.3565550984613547E-5</c:v>
                </c:pt>
                <c:pt idx="64">
                  <c:v>1.0671040355215849E-5</c:v>
                </c:pt>
                <c:pt idx="65">
                  <c:v>8.3941376499783005E-6</c:v>
                </c:pt>
                <c:pt idx="66">
                  <c:v>6.603062545100666E-6</c:v>
                </c:pt>
                <c:pt idx="67">
                  <c:v>5.1941529663411984E-6</c:v>
                </c:pt>
                <c:pt idx="68">
                  <c:v>4.0858654379654778E-6</c:v>
                </c:pt>
                <c:pt idx="69">
                  <c:v>3.2140555900725339E-6</c:v>
                </c:pt>
                <c:pt idx="70">
                  <c:v>2.5282656741677602E-6</c:v>
                </c:pt>
                <c:pt idx="71">
                  <c:v>1.9888042194785762E-6</c:v>
                </c:pt>
                <c:pt idx="72">
                  <c:v>1.5644488092485653E-6</c:v>
                </c:pt>
                <c:pt idx="73">
                  <c:v>1.2306390205673173E-6</c:v>
                </c:pt>
                <c:pt idx="74">
                  <c:v>9.6805494049390525E-7</c:v>
                </c:pt>
                <c:pt idx="75">
                  <c:v>7.614989872356315E-7</c:v>
                </c:pt>
                <c:pt idx="76">
                  <c:v>5.9901631953351229E-7</c:v>
                </c:pt>
                <c:pt idx="77">
                  <c:v>4.7120292617860495E-7</c:v>
                </c:pt>
                <c:pt idx="78">
                  <c:v>3.7066134994817766E-7</c:v>
                </c:pt>
                <c:pt idx="79">
                  <c:v>2.9157254488977569E-7</c:v>
                </c:pt>
                <c:pt idx="80">
                  <c:v>2.2935908733237619E-7</c:v>
                </c:pt>
                <c:pt idx="81">
                  <c:v>1.8042024828444356E-7</c:v>
                </c:pt>
                <c:pt idx="82">
                  <c:v>1.4192359400108908E-7</c:v>
                </c:pt>
                <c:pt idx="83">
                  <c:v>1.11641053183954E-7</c:v>
                </c:pt>
                <c:pt idx="84">
                  <c:v>8.7819962873311214E-8</c:v>
                </c:pt>
                <c:pt idx="85">
                  <c:v>6.9081629553976793E-8</c:v>
                </c:pt>
                <c:pt idx="86">
                  <c:v>5.4341534495037039E-8</c:v>
                </c:pt>
                <c:pt idx="87">
                  <c:v>4.2746565046905233E-8</c:v>
                </c:pt>
                <c:pt idx="88">
                  <c:v>3.3625639030789297E-8</c:v>
                </c:pt>
                <c:pt idx="89">
                  <c:v>2.6450864507785739E-8</c:v>
                </c:pt>
                <c:pt idx="90">
                  <c:v>2.080698697112082E-8</c:v>
                </c:pt>
                <c:pt idx="91">
                  <c:v>1.6367355656332381E-8</c:v>
                </c:pt>
                <c:pt idx="92">
                  <c:v>1.2875017971256316E-8</c:v>
                </c:pt>
                <c:pt idx="93">
                  <c:v>1.0127847847922736E-8</c:v>
                </c:pt>
                <c:pt idx="94">
                  <c:v>7.9668472898189969E-9</c:v>
                </c:pt>
                <c:pt idx="95">
                  <c:v>6.2669440430341734E-9</c:v>
                </c:pt>
                <c:pt idx="96">
                  <c:v>4.929752787995758E-9</c:v>
                </c:pt>
                <c:pt idx="97">
                  <c:v>3.8778808912079876E-9</c:v>
                </c:pt>
                <c:pt idx="98">
                  <c:v>3.0504491509217936E-9</c:v>
                </c:pt>
                <c:pt idx="99">
                  <c:v>2.3995682908818894E-9</c:v>
                </c:pt>
                <c:pt idx="100">
                  <c:v>1.8875672721395489E-9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F7-4191-80D1-B4E9554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72096"/>
        <c:axId val="131982464"/>
      </c:scatterChart>
      <c:valAx>
        <c:axId val="13197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982464"/>
        <c:crosses val="autoZero"/>
        <c:crossBetween val="midCat"/>
      </c:valAx>
      <c:valAx>
        <c:axId val="13198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97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Saidas!$A$1:$A$101</c:f>
              <c:numCache>
                <c:formatCode>General</c:formatCode>
                <c:ptCount val="10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4.8</c:v>
                </c:pt>
                <c:pt idx="13">
                  <c:v>5.2</c:v>
                </c:pt>
                <c:pt idx="14">
                  <c:v>5.6</c:v>
                </c:pt>
                <c:pt idx="15">
                  <c:v>6</c:v>
                </c:pt>
                <c:pt idx="16">
                  <c:v>6.4</c:v>
                </c:pt>
                <c:pt idx="17">
                  <c:v>6.8</c:v>
                </c:pt>
                <c:pt idx="18">
                  <c:v>7.2</c:v>
                </c:pt>
                <c:pt idx="19">
                  <c:v>7.6</c:v>
                </c:pt>
                <c:pt idx="20">
                  <c:v>8</c:v>
                </c:pt>
                <c:pt idx="21">
                  <c:v>8.4</c:v>
                </c:pt>
                <c:pt idx="22">
                  <c:v>8.8000000000000007</c:v>
                </c:pt>
                <c:pt idx="23">
                  <c:v>9.1999999999999993</c:v>
                </c:pt>
                <c:pt idx="24">
                  <c:v>9.6</c:v>
                </c:pt>
                <c:pt idx="25">
                  <c:v>10</c:v>
                </c:pt>
                <c:pt idx="26">
                  <c:v>10.4</c:v>
                </c:pt>
                <c:pt idx="27">
                  <c:v>10.8</c:v>
                </c:pt>
                <c:pt idx="28">
                  <c:v>11.2</c:v>
                </c:pt>
                <c:pt idx="29">
                  <c:v>11.6</c:v>
                </c:pt>
                <c:pt idx="30">
                  <c:v>12</c:v>
                </c:pt>
                <c:pt idx="31">
                  <c:v>12.4</c:v>
                </c:pt>
                <c:pt idx="32">
                  <c:v>12.8</c:v>
                </c:pt>
                <c:pt idx="33">
                  <c:v>13.2</c:v>
                </c:pt>
                <c:pt idx="34">
                  <c:v>13.6</c:v>
                </c:pt>
                <c:pt idx="35">
                  <c:v>14</c:v>
                </c:pt>
                <c:pt idx="36">
                  <c:v>14.4</c:v>
                </c:pt>
                <c:pt idx="37">
                  <c:v>14.8</c:v>
                </c:pt>
                <c:pt idx="38">
                  <c:v>15.2</c:v>
                </c:pt>
                <c:pt idx="39">
                  <c:v>15.6</c:v>
                </c:pt>
                <c:pt idx="40">
                  <c:v>16</c:v>
                </c:pt>
                <c:pt idx="41">
                  <c:v>16.399999999999999</c:v>
                </c:pt>
                <c:pt idx="42">
                  <c:v>16.8</c:v>
                </c:pt>
                <c:pt idx="43">
                  <c:v>17.2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18.8</c:v>
                </c:pt>
                <c:pt idx="48">
                  <c:v>19.2</c:v>
                </c:pt>
                <c:pt idx="49">
                  <c:v>19.600000000000001</c:v>
                </c:pt>
                <c:pt idx="50">
                  <c:v>20</c:v>
                </c:pt>
                <c:pt idx="51">
                  <c:v>20.399999999999999</c:v>
                </c:pt>
                <c:pt idx="52">
                  <c:v>20.8</c:v>
                </c:pt>
                <c:pt idx="53">
                  <c:v>21.2</c:v>
                </c:pt>
                <c:pt idx="54">
                  <c:v>21.6</c:v>
                </c:pt>
                <c:pt idx="55">
                  <c:v>22</c:v>
                </c:pt>
                <c:pt idx="56">
                  <c:v>22.4</c:v>
                </c:pt>
                <c:pt idx="57">
                  <c:v>22.8</c:v>
                </c:pt>
                <c:pt idx="58">
                  <c:v>23.2</c:v>
                </c:pt>
                <c:pt idx="59">
                  <c:v>23.6</c:v>
                </c:pt>
                <c:pt idx="60">
                  <c:v>24</c:v>
                </c:pt>
                <c:pt idx="61">
                  <c:v>24.4</c:v>
                </c:pt>
                <c:pt idx="62">
                  <c:v>24.8</c:v>
                </c:pt>
                <c:pt idx="63">
                  <c:v>25.2</c:v>
                </c:pt>
                <c:pt idx="64">
                  <c:v>25.6</c:v>
                </c:pt>
                <c:pt idx="65">
                  <c:v>26</c:v>
                </c:pt>
                <c:pt idx="66">
                  <c:v>26.4</c:v>
                </c:pt>
                <c:pt idx="67">
                  <c:v>26.8</c:v>
                </c:pt>
                <c:pt idx="68">
                  <c:v>27.2</c:v>
                </c:pt>
                <c:pt idx="69">
                  <c:v>27.6</c:v>
                </c:pt>
                <c:pt idx="70">
                  <c:v>28</c:v>
                </c:pt>
                <c:pt idx="71">
                  <c:v>28.4</c:v>
                </c:pt>
                <c:pt idx="72">
                  <c:v>28.8</c:v>
                </c:pt>
                <c:pt idx="73">
                  <c:v>29.2</c:v>
                </c:pt>
                <c:pt idx="74">
                  <c:v>29.6</c:v>
                </c:pt>
                <c:pt idx="75">
                  <c:v>30</c:v>
                </c:pt>
                <c:pt idx="76">
                  <c:v>30.4</c:v>
                </c:pt>
                <c:pt idx="77">
                  <c:v>30.8</c:v>
                </c:pt>
                <c:pt idx="78">
                  <c:v>31.2</c:v>
                </c:pt>
                <c:pt idx="79">
                  <c:v>31.6</c:v>
                </c:pt>
                <c:pt idx="80">
                  <c:v>32</c:v>
                </c:pt>
                <c:pt idx="81">
                  <c:v>32.4</c:v>
                </c:pt>
                <c:pt idx="82">
                  <c:v>32.799999999999997</c:v>
                </c:pt>
                <c:pt idx="83">
                  <c:v>33.200000000000003</c:v>
                </c:pt>
                <c:pt idx="84">
                  <c:v>33.6</c:v>
                </c:pt>
                <c:pt idx="85">
                  <c:v>34</c:v>
                </c:pt>
                <c:pt idx="86">
                  <c:v>34.4</c:v>
                </c:pt>
                <c:pt idx="87">
                  <c:v>34.799999999999997</c:v>
                </c:pt>
                <c:pt idx="88">
                  <c:v>35.200000000000003</c:v>
                </c:pt>
                <c:pt idx="89">
                  <c:v>35.6</c:v>
                </c:pt>
                <c:pt idx="90">
                  <c:v>36</c:v>
                </c:pt>
                <c:pt idx="91">
                  <c:v>36.4</c:v>
                </c:pt>
                <c:pt idx="92">
                  <c:v>36.799999999999997</c:v>
                </c:pt>
                <c:pt idx="93">
                  <c:v>37.200000000000003</c:v>
                </c:pt>
                <c:pt idx="94">
                  <c:v>37.6</c:v>
                </c:pt>
                <c:pt idx="95">
                  <c:v>38</c:v>
                </c:pt>
                <c:pt idx="96">
                  <c:v>38.4</c:v>
                </c:pt>
                <c:pt idx="97">
                  <c:v>38.799999999999997</c:v>
                </c:pt>
                <c:pt idx="98">
                  <c:v>39.200000000000003</c:v>
                </c:pt>
                <c:pt idx="99">
                  <c:v>39.6</c:v>
                </c:pt>
                <c:pt idx="100">
                  <c:v>40</c:v>
                </c:pt>
              </c:numCache>
            </c:numRef>
          </c:xVal>
          <c:yVal>
            <c:numRef>
              <c:f>Saidas!$E$1:$E$101</c:f>
              <c:numCache>
                <c:formatCode>General</c:formatCode>
                <c:ptCount val="101"/>
                <c:pt idx="0">
                  <c:v>0</c:v>
                </c:pt>
                <c:pt idx="1">
                  <c:v>10.668606946672327</c:v>
                </c:pt>
                <c:pt idx="2">
                  <c:v>19.060830409692958</c:v>
                </c:pt>
                <c:pt idx="3">
                  <c:v>25.662387202001412</c:v>
                </c:pt>
                <c:pt idx="4">
                  <c:v>30.855355701244395</c:v>
                </c:pt>
                <c:pt idx="5">
                  <c:v>34.940289404389887</c:v>
                </c:pt>
                <c:pt idx="6">
                  <c:v>38.15361206589391</c:v>
                </c:pt>
                <c:pt idx="7">
                  <c:v>40.681301198029495</c:v>
                </c:pt>
                <c:pt idx="8">
                  <c:v>42.669651893482488</c:v>
                </c:pt>
                <c:pt idx="9">
                  <c:v>44.23374394809688</c:v>
                </c:pt>
                <c:pt idx="10">
                  <c:v>45.464102335529375</c:v>
                </c:pt>
                <c:pt idx="11">
                  <c:v>46.431936522180692</c:v>
                </c:pt>
                <c:pt idx="12">
                  <c:v>47.193261858293312</c:v>
                </c:pt>
                <c:pt idx="13">
                  <c:v>47.792141579015357</c:v>
                </c:pt>
                <c:pt idx="14">
                  <c:v>48.263237052763067</c:v>
                </c:pt>
                <c:pt idx="15">
                  <c:v>48.633813877635376</c:v>
                </c:pt>
                <c:pt idx="16">
                  <c:v>48.925319932745502</c:v>
                </c:pt>
                <c:pt idx="17">
                  <c:v>49.154626717364735</c:v>
                </c:pt>
                <c:pt idx="18">
                  <c:v>49.335005822877811</c:v>
                </c:pt>
                <c:pt idx="19">
                  <c:v>49.476897052828662</c:v>
                </c:pt>
                <c:pt idx="20">
                  <c:v>49.588512647548995</c:v>
                </c:pt>
                <c:pt idx="21">
                  <c:v>49.67631258408553</c:v>
                </c:pt>
                <c:pt idx="22">
                  <c:v>49.745378460365039</c:v>
                </c:pt>
                <c:pt idx="23">
                  <c:v>49.799707602895474</c:v>
                </c:pt>
                <c:pt idx="24">
                  <c:v>49.842444420077783</c:v>
                </c:pt>
                <c:pt idx="25">
                  <c:v>49.876062391166684</c:v>
                </c:pt>
                <c:pt idx="26">
                  <c:v>49.902507223857747</c:v>
                </c:pt>
                <c:pt idx="27">
                  <c:v>49.923309466033778</c:v>
                </c:pt>
                <c:pt idx="28">
                  <c:v>49.939673089302097</c:v>
                </c:pt>
                <c:pt idx="29">
                  <c:v>49.952545171272952</c:v>
                </c:pt>
                <c:pt idx="30">
                  <c:v>49.962670709581161</c:v>
                </c:pt>
                <c:pt idx="31">
                  <c:v>49.970635740122695</c:v>
                </c:pt>
                <c:pt idx="32">
                  <c:v>49.976901255060916</c:v>
                </c:pt>
                <c:pt idx="33">
                  <c:v>49.981829883675246</c:v>
                </c:pt>
                <c:pt idx="34">
                  <c:v>49.985706880260125</c:v>
                </c:pt>
                <c:pt idx="35">
                  <c:v>49.988756633791063</c:v>
                </c:pt>
                <c:pt idx="36">
                  <c:v>49.991155654887869</c:v>
                </c:pt>
                <c:pt idx="37">
                  <c:v>49.993042791721912</c:v>
                </c:pt>
                <c:pt idx="38">
                  <c:v>49.994527266133218</c:v>
                </c:pt>
                <c:pt idx="39">
                  <c:v>49.995694995064184</c:v>
                </c:pt>
                <c:pt idx="40">
                  <c:v>49.996613563175458</c:v>
                </c:pt>
                <c:pt idx="41">
                  <c:v>49.997336134444069</c:v>
                </c:pt>
                <c:pt idx="42">
                  <c:v>49.997904529135575</c:v>
                </c:pt>
                <c:pt idx="43">
                  <c:v>49.998351644235989</c:v>
                </c:pt>
                <c:pt idx="44">
                  <c:v>49.998703357431076</c:v>
                </c:pt>
                <c:pt idx="45">
                  <c:v>49.998980024829443</c:v>
                </c:pt>
                <c:pt idx="46">
                  <c:v>49.999197659113243</c:v>
                </c:pt>
                <c:pt idx="47">
                  <c:v>49.999368856304407</c:v>
                </c:pt>
                <c:pt idx="48">
                  <c:v>49.999503524784707</c:v>
                </c:pt>
                <c:pt idx="49">
                  <c:v>49.999609458763324</c:v>
                </c:pt>
                <c:pt idx="50">
                  <c:v>49.99969278938233</c:v>
                </c:pt>
                <c:pt idx="51">
                  <c:v>49.999758339568928</c:v>
                </c:pt>
                <c:pt idx="52">
                  <c:v>49.999809903172</c:v>
                </c:pt>
                <c:pt idx="53">
                  <c:v>49.999850464538795</c:v>
                </c:pt>
                <c:pt idx="54">
                  <c:v>49.999882371239998</c:v>
                </c:pt>
                <c:pt idx="55">
                  <c:v>49.999907469940119</c:v>
                </c:pt>
                <c:pt idx="56">
                  <c:v>49.999927213276912</c:v>
                </c:pt>
                <c:pt idx="57">
                  <c:v>49.999942743935705</c:v>
                </c:pt>
                <c:pt idx="58">
                  <c:v>49.999954960784606</c:v>
                </c:pt>
                <c:pt idx="59">
                  <c:v>49.999964570898328</c:v>
                </c:pt>
                <c:pt idx="60">
                  <c:v>49.999972130481538</c:v>
                </c:pt>
                <c:pt idx="61">
                  <c:v>49.999978077060305</c:v>
                </c:pt>
                <c:pt idx="62">
                  <c:v>49.99998275480484</c:v>
                </c:pt>
                <c:pt idx="63">
                  <c:v>49.999986434449021</c:v>
                </c:pt>
                <c:pt idx="64">
                  <c:v>49.999989328959643</c:v>
                </c:pt>
                <c:pt idx="65">
                  <c:v>49.999991605862348</c:v>
                </c:pt>
                <c:pt idx="66">
                  <c:v>49.999993396937455</c:v>
                </c:pt>
                <c:pt idx="67">
                  <c:v>49.999994805847031</c:v>
                </c:pt>
                <c:pt idx="68">
                  <c:v>49.999995914134558</c:v>
                </c:pt>
                <c:pt idx="69">
                  <c:v>49.999996785944411</c:v>
                </c:pt>
                <c:pt idx="70">
                  <c:v>49.999997471734325</c:v>
                </c:pt>
                <c:pt idx="71">
                  <c:v>49.999998011195778</c:v>
                </c:pt>
                <c:pt idx="72">
                  <c:v>49.999998435551191</c:v>
                </c:pt>
                <c:pt idx="73">
                  <c:v>49.999998769360978</c:v>
                </c:pt>
                <c:pt idx="74">
                  <c:v>49.999999031945059</c:v>
                </c:pt>
                <c:pt idx="75">
                  <c:v>49.999999238501012</c:v>
                </c:pt>
                <c:pt idx="76">
                  <c:v>49.999999400983683</c:v>
                </c:pt>
                <c:pt idx="77">
                  <c:v>49.999999528797076</c:v>
                </c:pt>
                <c:pt idx="78">
                  <c:v>49.999999629338646</c:v>
                </c:pt>
                <c:pt idx="79">
                  <c:v>49.999999708427453</c:v>
                </c:pt>
                <c:pt idx="80">
                  <c:v>49.999999770640912</c:v>
                </c:pt>
                <c:pt idx="81">
                  <c:v>49.999999819579749</c:v>
                </c:pt>
                <c:pt idx="82">
                  <c:v>49.999999858076407</c:v>
                </c:pt>
                <c:pt idx="83">
                  <c:v>49.99999988835895</c:v>
                </c:pt>
                <c:pt idx="84">
                  <c:v>49.999999912180037</c:v>
                </c:pt>
                <c:pt idx="85">
                  <c:v>49.999999930918371</c:v>
                </c:pt>
                <c:pt idx="86">
                  <c:v>49.999999945658466</c:v>
                </c:pt>
                <c:pt idx="87">
                  <c:v>49.999999957253429</c:v>
                </c:pt>
                <c:pt idx="88">
                  <c:v>49.999999966374361</c:v>
                </c:pt>
                <c:pt idx="89">
                  <c:v>49.999999973549137</c:v>
                </c:pt>
                <c:pt idx="90">
                  <c:v>49.999999979193014</c:v>
                </c:pt>
                <c:pt idx="91">
                  <c:v>49.999999983632641</c:v>
                </c:pt>
                <c:pt idx="92">
                  <c:v>49.99999998712498</c:v>
                </c:pt>
                <c:pt idx="93">
                  <c:v>49.999999989872151</c:v>
                </c:pt>
                <c:pt idx="94">
                  <c:v>49.999999992033153</c:v>
                </c:pt>
                <c:pt idx="95">
                  <c:v>49.999999993733056</c:v>
                </c:pt>
                <c:pt idx="96">
                  <c:v>49.999999995070247</c:v>
                </c:pt>
                <c:pt idx="97">
                  <c:v>49.999999996122121</c:v>
                </c:pt>
                <c:pt idx="98">
                  <c:v>49.999999996949555</c:v>
                </c:pt>
                <c:pt idx="99">
                  <c:v>49.999999997600433</c:v>
                </c:pt>
                <c:pt idx="100">
                  <c:v>49.999999998112429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D2-43F9-9252-41102A58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7216"/>
        <c:axId val="131899392"/>
      </c:scatterChart>
      <c:valAx>
        <c:axId val="13189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899392"/>
        <c:crosses val="autoZero"/>
        <c:crossBetween val="midCat"/>
      </c:valAx>
      <c:valAx>
        <c:axId val="13189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89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7</xdr:row>
          <xdr:rowOff>371475</xdr:rowOff>
        </xdr:from>
        <xdr:to>
          <xdr:col>16</xdr:col>
          <xdr:colOff>438150</xdr:colOff>
          <xdr:row>9</xdr:row>
          <xdr:rowOff>323850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7938</xdr:colOff>
      <xdr:row>2</xdr:row>
      <xdr:rowOff>1</xdr:rowOff>
    </xdr:from>
    <xdr:to>
      <xdr:col>11</xdr:col>
      <xdr:colOff>603250</xdr:colOff>
      <xdr:row>14</xdr:row>
      <xdr:rowOff>190500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6351</xdr:colOff>
      <xdr:row>2</xdr:row>
      <xdr:rowOff>7937</xdr:rowOff>
    </xdr:from>
    <xdr:to>
      <xdr:col>21</xdr:col>
      <xdr:colOff>603251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</xdr:colOff>
      <xdr:row>16</xdr:row>
      <xdr:rowOff>6350</xdr:rowOff>
    </xdr:from>
    <xdr:to>
      <xdr:col>11</xdr:col>
      <xdr:colOff>603250</xdr:colOff>
      <xdr:row>28</xdr:row>
      <xdr:rowOff>182563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7937</xdr:colOff>
      <xdr:row>16</xdr:row>
      <xdr:rowOff>1588</xdr:rowOff>
    </xdr:from>
    <xdr:to>
      <xdr:col>21</xdr:col>
      <xdr:colOff>603250</xdr:colOff>
      <xdr:row>28</xdr:row>
      <xdr:rowOff>182562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S20"/>
  <sheetViews>
    <sheetView tabSelected="1" workbookViewId="0"/>
  </sheetViews>
  <sheetFormatPr defaultColWidth="0" defaultRowHeight="15" zeroHeight="1"/>
  <cols>
    <col min="1" max="1" width="1.5703125" customWidth="1"/>
    <col min="2" max="7" width="8.7109375" customWidth="1"/>
    <col min="8" max="8" width="26.140625" customWidth="1"/>
    <col min="9" max="18" width="8.7109375" customWidth="1"/>
    <col min="19" max="19" width="1.5703125" customWidth="1"/>
    <col min="20" max="16384" width="8.7109375" hidden="1"/>
  </cols>
  <sheetData>
    <row r="1" spans="1:19" ht="8.4499999999999993" customHeight="1" thickBot="1">
      <c r="A1" s="2"/>
      <c r="B1" s="2"/>
      <c r="C1" s="2"/>
      <c r="D1" s="2"/>
      <c r="E1" s="2"/>
      <c r="F1" s="2"/>
      <c r="G1" s="2"/>
      <c r="H1" s="2"/>
      <c r="I1" s="13" t="s">
        <v>3</v>
      </c>
      <c r="J1" s="13" t="s">
        <v>7</v>
      </c>
      <c r="K1" s="13" t="s">
        <v>8</v>
      </c>
      <c r="L1" s="2"/>
      <c r="M1" s="2"/>
      <c r="N1" s="2"/>
      <c r="O1" s="2"/>
      <c r="P1" s="2"/>
      <c r="Q1" s="2"/>
      <c r="R1" s="2"/>
      <c r="S1" s="2"/>
    </row>
    <row r="2" spans="1:19" ht="37.5" thickBot="1">
      <c r="A2" s="2"/>
      <c r="B2" s="19" t="s">
        <v>0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1"/>
      <c r="S2" s="2"/>
    </row>
    <row r="3" spans="1:19" ht="14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30.95">
      <c r="A4" s="2"/>
      <c r="B4" s="3" t="s">
        <v>1</v>
      </c>
      <c r="C4" s="3"/>
      <c r="D4" s="3"/>
      <c r="E4" s="3"/>
      <c r="F4" s="3"/>
      <c r="G4" s="2"/>
      <c r="H4" s="4" t="s">
        <v>3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30.95">
      <c r="A5" s="2"/>
      <c r="B5" s="3"/>
      <c r="C5" s="3"/>
      <c r="D5" s="3"/>
      <c r="E5" s="3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30.95" customHeight="1">
      <c r="A6" s="2"/>
      <c r="B6" s="3" t="s">
        <v>2</v>
      </c>
      <c r="C6" s="3"/>
      <c r="D6" s="3"/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ht="30.95">
      <c r="A7" s="2"/>
      <c r="B7" s="3"/>
      <c r="C7" s="3"/>
      <c r="D7" s="3"/>
      <c r="E7" s="3"/>
      <c r="F7" s="3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30.95">
      <c r="A8" s="2"/>
      <c r="B8" s="3"/>
      <c r="C8" s="22" t="str">
        <f>IF(H4="RC", "[R] Resistencia:", IF(H4="LC", "[qm] Carga maxima:", "[R] Resistencia:"))</f>
        <v>[R] Resistencia:</v>
      </c>
      <c r="D8" s="22"/>
      <c r="E8" s="22"/>
      <c r="F8" s="22"/>
      <c r="G8" s="22"/>
      <c r="H8" s="7">
        <v>100</v>
      </c>
      <c r="I8" s="7" t="str">
        <f>IF(H4="RC", "Ω", IF(H4="LC", "C", "Ω"))</f>
        <v>Ω</v>
      </c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30.95">
      <c r="A9" s="2"/>
      <c r="B9" s="3"/>
      <c r="C9" s="22" t="str">
        <f>IF(H4="RC", "[C] Capacitancia:", IF(H4="LC", "[C] Capacitancia:", "[C] Capacitancia:"))</f>
        <v>[C] Capacitancia:</v>
      </c>
      <c r="D9" s="22"/>
      <c r="E9" s="22"/>
      <c r="F9" s="22"/>
      <c r="G9" s="22"/>
      <c r="H9" s="6">
        <v>60</v>
      </c>
      <c r="I9" s="6" t="str">
        <f>IF(H4="RC", "F", IF(H4="LC", "F", "F"))</f>
        <v>F</v>
      </c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30.95">
      <c r="A10" s="2"/>
      <c r="B10" s="3"/>
      <c r="C10" s="23" t="str">
        <f>IF(H4="RC", "[Ɛ] Fonte:", IF(H4="LC", "[L] Induntancia:", "[L] Induntancia:"))</f>
        <v>[Ɛ] Fonte:</v>
      </c>
      <c r="D10" s="22"/>
      <c r="E10" s="22"/>
      <c r="F10" s="22"/>
      <c r="G10" s="22"/>
      <c r="H10" s="5">
        <v>50</v>
      </c>
      <c r="I10" s="5" t="str">
        <f>IF(H4="RC", "V", IF(H4="LC", "H", "H"))</f>
        <v>V</v>
      </c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31.5">
      <c r="A11" s="2"/>
      <c r="B11" s="3"/>
      <c r="C11" s="22" t="str">
        <f>IF(H4="RC", "[t] Tempo:", IF(H4="LC", "[t] Tempo:", "[t] Tempo:"))</f>
        <v>[t] Tempo:</v>
      </c>
      <c r="D11" s="22"/>
      <c r="E11" s="22"/>
      <c r="F11" s="22"/>
      <c r="G11" s="22"/>
      <c r="H11" s="1">
        <v>40</v>
      </c>
      <c r="I11" s="1" t="str">
        <f>IF(H4="RC", "s", IF(H4="LC", "s", "s"))</f>
        <v>s</v>
      </c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ht="31.5">
      <c r="A12" s="2"/>
      <c r="B12" s="2"/>
      <c r="C12" s="22" t="str">
        <f>IF(H4="RC", "Ø", IF(H4="LC", "Ø", "[qm] Carga maxima:"))</f>
        <v>Ø</v>
      </c>
      <c r="D12" s="22"/>
      <c r="E12" s="22"/>
      <c r="F12" s="22"/>
      <c r="G12" s="22"/>
      <c r="H12" s="35"/>
      <c r="I12" s="35" t="str">
        <f>IF(H4="RC", "", IF(H4="LC", "", "C"))</f>
        <v/>
      </c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14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14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14.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14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14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18" t="s">
        <v>4</v>
      </c>
      <c r="Q19" s="18"/>
      <c r="R19" s="8">
        <v>100</v>
      </c>
      <c r="S19" s="2"/>
    </row>
    <row r="20" spans="1:19" ht="9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</sheetData>
  <mergeCells count="7">
    <mergeCell ref="P19:Q19"/>
    <mergeCell ref="B2:R2"/>
    <mergeCell ref="C8:G8"/>
    <mergeCell ref="C9:G9"/>
    <mergeCell ref="C10:G10"/>
    <mergeCell ref="C11:G11"/>
    <mergeCell ref="C12:G12"/>
  </mergeCells>
  <dataValidations count="1">
    <dataValidation type="list" allowBlank="1" showInputMessage="1" showErrorMessage="1" sqref="H4">
      <formula1>$I$1:$K$1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12</xdr:col>
                <xdr:colOff>523875</xdr:colOff>
                <xdr:row>7</xdr:row>
                <xdr:rowOff>371475</xdr:rowOff>
              </from>
              <to>
                <xdr:col>16</xdr:col>
                <xdr:colOff>438150</xdr:colOff>
                <xdr:row>9</xdr:row>
                <xdr:rowOff>323850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X101"/>
  <sheetViews>
    <sheetView zoomScaleNormal="100" workbookViewId="0">
      <selection activeCell="F1" sqref="F1"/>
    </sheetView>
  </sheetViews>
  <sheetFormatPr defaultRowHeight="15"/>
  <cols>
    <col min="1" max="5" width="0.140625" customWidth="1"/>
    <col min="23" max="23" width="11.85546875" bestFit="1" customWidth="1"/>
  </cols>
  <sheetData>
    <row r="1" spans="1:24" thickBot="1">
      <c r="A1">
        <v>0</v>
      </c>
      <c r="B1">
        <v>0</v>
      </c>
      <c r="C1">
        <v>0.5</v>
      </c>
      <c r="D1" s="10">
        <v>50</v>
      </c>
      <c r="E1" s="10">
        <v>0</v>
      </c>
    </row>
    <row r="2" spans="1:24" ht="14.45">
      <c r="A2">
        <v>0.4</v>
      </c>
      <c r="B2">
        <v>640.11641680033961</v>
      </c>
      <c r="C2">
        <v>0.39331393053327673</v>
      </c>
      <c r="D2" s="10">
        <v>39.331393053327673</v>
      </c>
      <c r="E2" s="10">
        <v>10.668606946672327</v>
      </c>
      <c r="F2" s="30" t="str">
        <f>IF(Entradas!H4="RC", "Carga X Tempo", IF(Entradas!H4="LC", "Carga X Tempo", "Carga X Tempo"))</f>
        <v>Carga X Tempo</v>
      </c>
      <c r="G2" s="31"/>
      <c r="H2" s="31"/>
      <c r="I2" s="31"/>
      <c r="J2" s="31"/>
      <c r="K2" s="31"/>
      <c r="L2" s="31"/>
      <c r="M2" s="31"/>
      <c r="N2" s="32"/>
      <c r="O2" s="10"/>
      <c r="P2" s="30" t="str">
        <f>IF(Entradas!H4="RC", "Corrente X Tempo", IF(Entradas!H4="LC", "Corrente X Tempo", "Tensão da induntancia X Tempo"))</f>
        <v>Corrente X Tempo</v>
      </c>
      <c r="Q2" s="31"/>
      <c r="R2" s="31"/>
      <c r="S2" s="31"/>
      <c r="T2" s="31"/>
      <c r="U2" s="31"/>
      <c r="V2" s="31"/>
      <c r="W2" s="31"/>
      <c r="X2" s="32"/>
    </row>
    <row r="3" spans="1:24" ht="14.45">
      <c r="A3">
        <v>0.8</v>
      </c>
      <c r="B3">
        <v>1143.6498245815774</v>
      </c>
      <c r="C3">
        <v>0.30939169590307042</v>
      </c>
      <c r="D3" s="10">
        <v>30.939169590307042</v>
      </c>
      <c r="E3" s="10">
        <v>19.060830409692958</v>
      </c>
      <c r="F3" s="9"/>
      <c r="G3" s="10"/>
      <c r="H3" s="10"/>
      <c r="I3" s="10"/>
      <c r="J3" s="10"/>
      <c r="K3" s="10"/>
      <c r="L3" s="10"/>
      <c r="M3" s="14"/>
      <c r="N3" s="15"/>
      <c r="O3" s="10"/>
      <c r="P3" s="9"/>
      <c r="Q3" s="10"/>
      <c r="R3" s="10"/>
      <c r="S3" s="10"/>
      <c r="T3" s="10"/>
      <c r="U3" s="10"/>
      <c r="V3" s="10"/>
      <c r="W3" s="14"/>
      <c r="X3" s="15"/>
    </row>
    <row r="4" spans="1:24" thickBot="1">
      <c r="A4">
        <v>1.2</v>
      </c>
      <c r="B4">
        <v>1539.7432321200847</v>
      </c>
      <c r="C4">
        <v>0.24337612797998584</v>
      </c>
      <c r="D4" s="10">
        <v>24.337612797998585</v>
      </c>
      <c r="E4" s="10">
        <v>25.662387202001412</v>
      </c>
      <c r="F4" s="9"/>
      <c r="G4" s="10"/>
      <c r="H4" s="10"/>
      <c r="I4" s="10"/>
      <c r="J4" s="10"/>
      <c r="K4" s="10"/>
      <c r="L4" s="10"/>
      <c r="M4" s="14"/>
      <c r="N4" s="15"/>
      <c r="O4" s="10"/>
      <c r="P4" s="9"/>
      <c r="Q4" s="10"/>
      <c r="R4" s="10"/>
      <c r="S4" s="10"/>
      <c r="T4" s="10"/>
      <c r="U4" s="10"/>
      <c r="V4" s="10"/>
      <c r="W4" s="14"/>
      <c r="X4" s="15"/>
    </row>
    <row r="5" spans="1:24" ht="14.45">
      <c r="A5">
        <v>1.6</v>
      </c>
      <c r="B5">
        <v>1851.3213420746638</v>
      </c>
      <c r="C5">
        <v>0.19144644298755603</v>
      </c>
      <c r="D5" s="10">
        <v>19.144644298755605</v>
      </c>
      <c r="E5" s="10">
        <v>30.855355701244395</v>
      </c>
      <c r="F5" s="9"/>
      <c r="G5" s="10"/>
      <c r="H5" s="10"/>
      <c r="I5" s="10"/>
      <c r="J5" s="10"/>
      <c r="K5" s="10"/>
      <c r="L5" s="10"/>
      <c r="M5" s="28" t="s">
        <v>5</v>
      </c>
      <c r="N5" s="29"/>
      <c r="O5" s="10"/>
      <c r="P5" s="9"/>
      <c r="Q5" s="10"/>
      <c r="R5" s="10"/>
      <c r="S5" s="10"/>
      <c r="T5" s="10"/>
      <c r="U5" s="10"/>
      <c r="V5" s="10"/>
      <c r="W5" s="28" t="s">
        <v>5</v>
      </c>
      <c r="X5" s="29"/>
    </row>
    <row r="6" spans="1:24" thickBot="1">
      <c r="A6">
        <v>2</v>
      </c>
      <c r="B6">
        <v>2096.4173642633932</v>
      </c>
      <c r="C6">
        <v>0.15059710595610107</v>
      </c>
      <c r="D6" s="10">
        <v>15.059710595610106</v>
      </c>
      <c r="E6" s="10">
        <v>34.940289404389887</v>
      </c>
      <c r="F6" s="9"/>
      <c r="G6" s="10"/>
      <c r="H6" s="10"/>
      <c r="I6" s="10"/>
      <c r="J6" s="10"/>
      <c r="K6" s="10"/>
      <c r="L6" s="10"/>
      <c r="M6" s="24">
        <v>0</v>
      </c>
      <c r="N6" s="25"/>
      <c r="O6" s="10"/>
      <c r="P6" s="9"/>
      <c r="Q6" s="10"/>
      <c r="R6" s="10"/>
      <c r="S6" s="10"/>
      <c r="T6" s="10"/>
      <c r="U6" s="10"/>
      <c r="V6" s="10"/>
      <c r="W6" s="24">
        <v>0.5</v>
      </c>
      <c r="X6" s="25"/>
    </row>
    <row r="7" spans="1:24" ht="14.45">
      <c r="A7">
        <v>2.4</v>
      </c>
      <c r="B7">
        <v>2289.2167239536348</v>
      </c>
      <c r="C7">
        <v>0.11846387934106088</v>
      </c>
      <c r="D7" s="10">
        <v>11.846387934106088</v>
      </c>
      <c r="E7" s="10">
        <v>38.15361206589391</v>
      </c>
      <c r="F7" s="9"/>
      <c r="G7" s="10"/>
      <c r="H7" s="10"/>
      <c r="I7" s="10"/>
      <c r="J7" s="10"/>
      <c r="K7" s="10"/>
      <c r="L7" s="10"/>
      <c r="M7" s="14"/>
      <c r="N7" s="15"/>
      <c r="O7" s="10"/>
      <c r="P7" s="9"/>
      <c r="Q7" s="10"/>
      <c r="R7" s="10"/>
      <c r="S7" s="10"/>
      <c r="T7" s="10"/>
      <c r="U7" s="10"/>
      <c r="V7" s="10"/>
      <c r="W7" s="14"/>
      <c r="X7" s="15"/>
    </row>
    <row r="8" spans="1:24" ht="14.45">
      <c r="A8">
        <v>2.8</v>
      </c>
      <c r="B8">
        <v>2440.8780718817698</v>
      </c>
      <c r="C8">
        <v>9.3186988019705014E-2</v>
      </c>
      <c r="D8" s="10">
        <v>9.3186988019705019</v>
      </c>
      <c r="E8" s="10">
        <v>40.681301198029495</v>
      </c>
      <c r="F8" s="9"/>
      <c r="G8" s="10"/>
      <c r="H8" s="10"/>
      <c r="I8" s="10"/>
      <c r="J8" s="10"/>
      <c r="K8" s="10"/>
      <c r="L8" s="10"/>
      <c r="M8" s="14"/>
      <c r="N8" s="15"/>
      <c r="O8" s="10"/>
      <c r="P8" s="9"/>
      <c r="Q8" s="10"/>
      <c r="R8" s="10"/>
      <c r="S8" s="10"/>
      <c r="T8" s="10"/>
      <c r="U8" s="10"/>
      <c r="V8" s="10"/>
      <c r="W8" s="14"/>
      <c r="X8" s="15"/>
    </row>
    <row r="9" spans="1:24" ht="14.45">
      <c r="A9">
        <v>3.2</v>
      </c>
      <c r="B9">
        <v>2560.1791136089496</v>
      </c>
      <c r="C9">
        <v>7.3303481065175077E-2</v>
      </c>
      <c r="D9" s="10">
        <v>7.3303481065175076</v>
      </c>
      <c r="E9" s="10">
        <v>42.669651893482488</v>
      </c>
      <c r="F9" s="9"/>
      <c r="G9" s="10"/>
      <c r="H9" s="10"/>
      <c r="I9" s="10"/>
      <c r="J9" s="10"/>
      <c r="K9" s="10"/>
      <c r="L9" s="10"/>
      <c r="M9" s="14"/>
      <c r="N9" s="15"/>
      <c r="O9" s="10"/>
      <c r="P9" s="9"/>
      <c r="Q9" s="10"/>
      <c r="R9" s="10"/>
      <c r="S9" s="10"/>
      <c r="T9" s="10"/>
      <c r="U9" s="10"/>
      <c r="V9" s="10"/>
      <c r="W9" s="14"/>
      <c r="X9" s="15"/>
    </row>
    <row r="10" spans="1:24" thickBot="1">
      <c r="A10">
        <v>3.6</v>
      </c>
      <c r="B10">
        <v>2654.0246368858125</v>
      </c>
      <c r="C10">
        <v>5.7662560519031257E-2</v>
      </c>
      <c r="D10" s="10">
        <v>5.7662560519031256</v>
      </c>
      <c r="E10" s="10">
        <v>44.23374394809688</v>
      </c>
      <c r="F10" s="9"/>
      <c r="G10" s="10"/>
      <c r="H10" s="10"/>
      <c r="I10" s="10"/>
      <c r="J10" s="10"/>
      <c r="K10" s="10"/>
      <c r="L10" s="10"/>
      <c r="M10" s="14"/>
      <c r="N10" s="15"/>
      <c r="O10" s="10"/>
      <c r="P10" s="9"/>
      <c r="Q10" s="10"/>
      <c r="R10" s="10"/>
      <c r="S10" s="10"/>
      <c r="T10" s="10"/>
      <c r="U10" s="10"/>
      <c r="V10" s="10"/>
      <c r="W10" s="14"/>
      <c r="X10" s="15"/>
    </row>
    <row r="11" spans="1:24" ht="14.45">
      <c r="A11">
        <v>4</v>
      </c>
      <c r="B11">
        <v>2727.8461401317627</v>
      </c>
      <c r="C11">
        <v>4.5358976644706256E-2</v>
      </c>
      <c r="D11" s="10">
        <v>4.5358976644706255</v>
      </c>
      <c r="E11" s="10">
        <v>45.464102335529375</v>
      </c>
      <c r="F11" s="9"/>
      <c r="G11" s="10"/>
      <c r="H11" s="10"/>
      <c r="I11" s="10"/>
      <c r="J11" s="10"/>
      <c r="K11" s="10"/>
      <c r="L11" s="10"/>
      <c r="M11" s="26" t="s">
        <v>6</v>
      </c>
      <c r="N11" s="27"/>
      <c r="O11" s="10"/>
      <c r="P11" s="9"/>
      <c r="Q11" s="10"/>
      <c r="R11" s="10"/>
      <c r="S11" s="10"/>
      <c r="T11" s="10"/>
      <c r="U11" s="10"/>
      <c r="V11" s="10"/>
      <c r="W11" s="33" t="s">
        <v>6</v>
      </c>
      <c r="X11" s="34"/>
    </row>
    <row r="12" spans="1:24" thickBot="1">
      <c r="A12">
        <v>4.4000000000000004</v>
      </c>
      <c r="B12">
        <v>2785.9161913308417</v>
      </c>
      <c r="C12">
        <v>3.5680634778193027E-2</v>
      </c>
      <c r="D12" s="10">
        <v>3.5680634778193028</v>
      </c>
      <c r="E12" s="10">
        <v>46.431936522180692</v>
      </c>
      <c r="F12" s="9"/>
      <c r="G12" s="10"/>
      <c r="H12" s="10"/>
      <c r="I12" s="10"/>
      <c r="J12" s="10"/>
      <c r="K12" s="10"/>
      <c r="L12" s="10"/>
      <c r="M12" s="24">
        <v>2999.9999998867461</v>
      </c>
      <c r="N12" s="25"/>
      <c r="O12" s="10"/>
      <c r="P12" s="9"/>
      <c r="Q12" s="10"/>
      <c r="R12" s="10"/>
      <c r="S12" s="10"/>
      <c r="T12" s="10"/>
      <c r="U12" s="10"/>
      <c r="V12" s="10"/>
      <c r="W12" s="24">
        <v>1.8875672721395489E-11</v>
      </c>
      <c r="X12" s="25"/>
    </row>
    <row r="13" spans="1:24" ht="14.45">
      <c r="A13">
        <v>4.8</v>
      </c>
      <c r="B13">
        <v>2831.5957114975986</v>
      </c>
      <c r="C13">
        <v>2.8067381417066863E-2</v>
      </c>
      <c r="D13" s="10">
        <v>2.8067381417066861</v>
      </c>
      <c r="E13" s="10">
        <v>47.193261858293312</v>
      </c>
      <c r="F13" s="9"/>
      <c r="G13" s="10"/>
      <c r="H13" s="10"/>
      <c r="I13" s="10"/>
      <c r="J13" s="10"/>
      <c r="K13" s="10"/>
      <c r="L13" s="10"/>
      <c r="M13" s="14"/>
      <c r="N13" s="15"/>
      <c r="O13" s="10"/>
      <c r="P13" s="9"/>
      <c r="Q13" s="10"/>
      <c r="R13" s="10"/>
      <c r="S13" s="10"/>
      <c r="T13" s="10"/>
      <c r="U13" s="10"/>
      <c r="V13" s="10"/>
      <c r="W13" s="14"/>
      <c r="X13" s="15"/>
    </row>
    <row r="14" spans="1:24" ht="14.45">
      <c r="A14">
        <v>5.2</v>
      </c>
      <c r="B14">
        <v>2867.5284947409214</v>
      </c>
      <c r="C14">
        <v>2.207858420984643E-2</v>
      </c>
      <c r="D14" s="10">
        <v>2.207858420984643</v>
      </c>
      <c r="E14" s="10">
        <v>47.792141579015357</v>
      </c>
      <c r="F14" s="9"/>
      <c r="G14" s="10"/>
      <c r="H14" s="10"/>
      <c r="I14" s="10"/>
      <c r="J14" s="10"/>
      <c r="K14" s="10"/>
      <c r="L14" s="10"/>
      <c r="M14" s="14"/>
      <c r="N14" s="15"/>
      <c r="O14" s="10"/>
      <c r="P14" s="9"/>
      <c r="Q14" s="10"/>
      <c r="R14" s="10"/>
      <c r="S14" s="10"/>
      <c r="T14" s="10"/>
      <c r="U14" s="10"/>
      <c r="V14" s="10"/>
      <c r="W14" s="14"/>
      <c r="X14" s="15"/>
    </row>
    <row r="15" spans="1:24" thickBot="1">
      <c r="A15">
        <v>5.6</v>
      </c>
      <c r="B15">
        <v>2895.7942231657844</v>
      </c>
      <c r="C15">
        <v>1.7367629472369289E-2</v>
      </c>
      <c r="D15" s="10">
        <v>1.7367629472369288</v>
      </c>
      <c r="E15" s="10">
        <v>48.263237052763067</v>
      </c>
      <c r="F15" s="11"/>
      <c r="G15" s="12"/>
      <c r="H15" s="12"/>
      <c r="I15" s="12"/>
      <c r="J15" s="12"/>
      <c r="K15" s="12"/>
      <c r="L15" s="12"/>
      <c r="M15" s="16"/>
      <c r="N15" s="17"/>
      <c r="O15" s="10"/>
      <c r="P15" s="11"/>
      <c r="Q15" s="12"/>
      <c r="R15" s="12"/>
      <c r="S15" s="12"/>
      <c r="T15" s="12"/>
      <c r="U15" s="12"/>
      <c r="V15" s="12"/>
      <c r="W15" s="16"/>
      <c r="X15" s="17"/>
    </row>
    <row r="16" spans="1:24" ht="14.45">
      <c r="A16">
        <v>6</v>
      </c>
      <c r="B16">
        <v>2918.0288326581226</v>
      </c>
      <c r="C16">
        <v>1.3661861223646285E-2</v>
      </c>
      <c r="D16">
        <v>1.3661861223646286</v>
      </c>
      <c r="E16">
        <v>48.633813877635376</v>
      </c>
      <c r="F16" s="30" t="str">
        <f>IF(Entradas!H4="RC", "Tensão do resistor X Tempo", IF(Entradas!H4="LC", "Tensão da induntancia X Tempo", "Tensão do resistor X Tempo"))</f>
        <v>Tensão do resistor X Tempo</v>
      </c>
      <c r="G16" s="31"/>
      <c r="H16" s="31"/>
      <c r="I16" s="31"/>
      <c r="J16" s="31"/>
      <c r="K16" s="31"/>
      <c r="L16" s="31"/>
      <c r="M16" s="31"/>
      <c r="N16" s="32"/>
      <c r="O16" s="10"/>
      <c r="P16" s="30" t="str">
        <f>IF(Entradas!H4="RC", "Tensão do capacitor X Tempo", IF(Entradas!H4="LC", "Tensão do capacitor X Tempo", "Tensão do capacitor X Tempo"))</f>
        <v>Tensão do capacitor X Tempo</v>
      </c>
      <c r="Q16" s="31"/>
      <c r="R16" s="31"/>
      <c r="S16" s="31"/>
      <c r="T16" s="31"/>
      <c r="U16" s="31"/>
      <c r="V16" s="31"/>
      <c r="W16" s="31"/>
      <c r="X16" s="32"/>
    </row>
    <row r="17" spans="1:24" ht="14.45">
      <c r="A17">
        <v>6.4</v>
      </c>
      <c r="B17">
        <v>2935.51919596473</v>
      </c>
      <c r="C17">
        <v>1.0746800672544961E-2</v>
      </c>
      <c r="D17">
        <v>1.0746800672544961</v>
      </c>
      <c r="E17">
        <v>48.925319932745502</v>
      </c>
      <c r="F17" s="9"/>
      <c r="G17" s="10"/>
      <c r="H17" s="10"/>
      <c r="I17" s="10"/>
      <c r="J17" s="10"/>
      <c r="K17" s="10"/>
      <c r="L17" s="10"/>
      <c r="M17" s="14"/>
      <c r="N17" s="15"/>
      <c r="O17" s="10"/>
      <c r="P17" s="9"/>
      <c r="Q17" s="10"/>
      <c r="R17" s="10"/>
      <c r="S17" s="10"/>
      <c r="T17" s="10"/>
      <c r="U17" s="10"/>
      <c r="V17" s="10"/>
      <c r="W17" s="14"/>
      <c r="X17" s="15"/>
    </row>
    <row r="18" spans="1:24" thickBot="1">
      <c r="A18">
        <v>6.8</v>
      </c>
      <c r="B18">
        <v>2949.277603041884</v>
      </c>
      <c r="C18">
        <v>8.4537328263526394E-3</v>
      </c>
      <c r="D18">
        <v>0.8453732826352639</v>
      </c>
      <c r="E18">
        <v>49.154626717364735</v>
      </c>
      <c r="F18" s="9"/>
      <c r="G18" s="10"/>
      <c r="H18" s="10"/>
      <c r="I18" s="10"/>
      <c r="J18" s="10"/>
      <c r="K18" s="10"/>
      <c r="L18" s="10"/>
      <c r="M18" s="14"/>
      <c r="N18" s="15"/>
      <c r="O18" s="10"/>
      <c r="P18" s="9"/>
      <c r="Q18" s="10"/>
      <c r="R18" s="10"/>
      <c r="S18" s="10"/>
      <c r="T18" s="10"/>
      <c r="U18" s="10"/>
      <c r="V18" s="10"/>
      <c r="W18" s="14"/>
      <c r="X18" s="15"/>
    </row>
    <row r="19" spans="1:24" ht="14.45">
      <c r="A19">
        <v>7.2</v>
      </c>
      <c r="B19">
        <v>2960.1003493726689</v>
      </c>
      <c r="C19">
        <v>6.6499417712218836E-3</v>
      </c>
      <c r="D19">
        <v>0.66499417712218833</v>
      </c>
      <c r="E19">
        <v>49.335005822877811</v>
      </c>
      <c r="F19" s="9"/>
      <c r="G19" s="10"/>
      <c r="H19" s="10"/>
      <c r="I19" s="10"/>
      <c r="J19" s="10"/>
      <c r="K19" s="10"/>
      <c r="L19" s="10"/>
      <c r="M19" s="28" t="s">
        <v>5</v>
      </c>
      <c r="N19" s="29"/>
      <c r="O19" s="10"/>
      <c r="P19" s="9"/>
      <c r="Q19" s="10"/>
      <c r="R19" s="10"/>
      <c r="S19" s="10"/>
      <c r="T19" s="10"/>
      <c r="U19" s="10"/>
      <c r="V19" s="10"/>
      <c r="W19" s="28" t="s">
        <v>5</v>
      </c>
      <c r="X19" s="29"/>
    </row>
    <row r="20" spans="1:24" thickBot="1">
      <c r="A20">
        <v>7.6</v>
      </c>
      <c r="B20">
        <v>2968.6138231697196</v>
      </c>
      <c r="C20">
        <v>5.2310294717134017E-3</v>
      </c>
      <c r="D20">
        <v>0.5231029471713402</v>
      </c>
      <c r="E20">
        <v>49.476897052828662</v>
      </c>
      <c r="F20" s="9"/>
      <c r="G20" s="10"/>
      <c r="H20" s="10"/>
      <c r="I20" s="10"/>
      <c r="J20" s="10"/>
      <c r="K20" s="10"/>
      <c r="L20" s="10"/>
      <c r="M20" s="24">
        <v>50</v>
      </c>
      <c r="N20" s="25"/>
      <c r="O20" s="10"/>
      <c r="P20" s="9"/>
      <c r="Q20" s="10"/>
      <c r="R20" s="10"/>
      <c r="S20" s="10"/>
      <c r="T20" s="10"/>
      <c r="U20" s="10"/>
      <c r="V20" s="10"/>
      <c r="W20" s="24">
        <v>0</v>
      </c>
      <c r="X20" s="25"/>
    </row>
    <row r="21" spans="1:24" ht="14.45">
      <c r="A21">
        <v>8</v>
      </c>
      <c r="B21">
        <v>2975.3107588529401</v>
      </c>
      <c r="C21">
        <v>4.1148735245100151E-3</v>
      </c>
      <c r="D21">
        <v>0.41148735245100149</v>
      </c>
      <c r="E21">
        <v>49.588512647548995</v>
      </c>
      <c r="F21" s="9"/>
      <c r="G21" s="10"/>
      <c r="H21" s="10"/>
      <c r="I21" s="10"/>
      <c r="J21" s="10"/>
      <c r="K21" s="10"/>
      <c r="L21" s="10"/>
      <c r="M21" s="14"/>
      <c r="N21" s="15"/>
      <c r="O21" s="10"/>
      <c r="P21" s="9"/>
      <c r="Q21" s="10"/>
      <c r="R21" s="10"/>
      <c r="S21" s="10"/>
      <c r="T21" s="10"/>
      <c r="U21" s="10"/>
      <c r="V21" s="10"/>
      <c r="W21" s="14"/>
      <c r="X21" s="15"/>
    </row>
    <row r="22" spans="1:24" ht="14.45">
      <c r="A22">
        <v>8.4</v>
      </c>
      <c r="B22">
        <v>2980.5787550451319</v>
      </c>
      <c r="C22">
        <v>3.2368741591447025E-3</v>
      </c>
      <c r="D22">
        <v>0.32368741591447026</v>
      </c>
      <c r="E22">
        <v>49.67631258408553</v>
      </c>
      <c r="F22" s="9"/>
      <c r="G22" s="10"/>
      <c r="H22" s="10"/>
      <c r="I22" s="10"/>
      <c r="J22" s="10"/>
      <c r="K22" s="10"/>
      <c r="L22" s="10"/>
      <c r="M22" s="14"/>
      <c r="N22" s="15"/>
      <c r="O22" s="10"/>
      <c r="P22" s="9"/>
      <c r="Q22" s="10"/>
      <c r="R22" s="10"/>
      <c r="S22" s="10"/>
      <c r="T22" s="10"/>
      <c r="U22" s="10"/>
      <c r="V22" s="10"/>
      <c r="W22" s="14"/>
      <c r="X22" s="15"/>
    </row>
    <row r="23" spans="1:24" ht="14.45">
      <c r="A23">
        <v>8.8000000000000007</v>
      </c>
      <c r="B23">
        <v>2984.7227076219024</v>
      </c>
      <c r="C23">
        <v>2.5462153963495952E-3</v>
      </c>
      <c r="D23">
        <v>0.25462153963495954</v>
      </c>
      <c r="E23">
        <v>49.745378460365039</v>
      </c>
      <c r="F23" s="9"/>
      <c r="G23" s="10"/>
      <c r="H23" s="10"/>
      <c r="I23" s="10"/>
      <c r="J23" s="10"/>
      <c r="K23" s="10"/>
      <c r="L23" s="10"/>
      <c r="M23" s="14"/>
      <c r="N23" s="15"/>
      <c r="O23" s="10"/>
      <c r="P23" s="9"/>
      <c r="Q23" s="10"/>
      <c r="R23" s="10"/>
      <c r="S23" s="10"/>
      <c r="T23" s="10"/>
      <c r="U23" s="10"/>
      <c r="V23" s="10"/>
      <c r="W23" s="14"/>
      <c r="X23" s="15"/>
    </row>
    <row r="24" spans="1:24" thickBot="1">
      <c r="A24">
        <v>9.1999999999999993</v>
      </c>
      <c r="B24">
        <v>2987.9824561737287</v>
      </c>
      <c r="C24">
        <v>2.0029239710452102E-3</v>
      </c>
      <c r="D24">
        <v>0.20029239710452101</v>
      </c>
      <c r="E24">
        <v>49.799707602895474</v>
      </c>
      <c r="F24" s="9"/>
      <c r="G24" s="10"/>
      <c r="H24" s="10"/>
      <c r="I24" s="10"/>
      <c r="J24" s="10"/>
      <c r="K24" s="10"/>
      <c r="L24" s="10"/>
      <c r="M24" s="14"/>
      <c r="N24" s="15"/>
      <c r="O24" s="10"/>
      <c r="P24" s="9"/>
      <c r="Q24" s="10"/>
      <c r="R24" s="10"/>
      <c r="S24" s="10"/>
      <c r="T24" s="10"/>
      <c r="U24" s="10"/>
      <c r="V24" s="10"/>
      <c r="W24" s="14"/>
      <c r="X24" s="15"/>
    </row>
    <row r="25" spans="1:24" ht="14.45">
      <c r="A25">
        <v>9.6</v>
      </c>
      <c r="B25">
        <v>2990.5466652046666</v>
      </c>
      <c r="C25">
        <v>1.5755557992222207E-3</v>
      </c>
      <c r="D25">
        <v>0.15755557992222208</v>
      </c>
      <c r="E25">
        <v>49.842444420077783</v>
      </c>
      <c r="F25" s="9"/>
      <c r="G25" s="10"/>
      <c r="H25" s="10"/>
      <c r="I25" s="10"/>
      <c r="J25" s="10"/>
      <c r="K25" s="10"/>
      <c r="L25" s="10"/>
      <c r="M25" s="26" t="s">
        <v>6</v>
      </c>
      <c r="N25" s="27"/>
      <c r="O25" s="10"/>
      <c r="P25" s="9"/>
      <c r="Q25" s="10"/>
      <c r="R25" s="10"/>
      <c r="S25" s="10"/>
      <c r="T25" s="10"/>
      <c r="U25" s="10"/>
      <c r="V25" s="10"/>
      <c r="W25" s="26" t="s">
        <v>6</v>
      </c>
      <c r="X25" s="27"/>
    </row>
    <row r="26" spans="1:24" thickBot="1">
      <c r="A26">
        <v>10</v>
      </c>
      <c r="B26">
        <v>2992.5637434700006</v>
      </c>
      <c r="C26">
        <v>1.2393760883331792E-3</v>
      </c>
      <c r="D26">
        <v>0.12393760883331792</v>
      </c>
      <c r="E26">
        <v>49.876062391166684</v>
      </c>
      <c r="F26" s="9"/>
      <c r="G26" s="10"/>
      <c r="H26" s="10"/>
      <c r="I26" s="10"/>
      <c r="J26" s="10"/>
      <c r="K26" s="10"/>
      <c r="L26" s="10"/>
      <c r="M26" s="24">
        <v>1.8875672721395489E-9</v>
      </c>
      <c r="N26" s="25"/>
      <c r="O26" s="10"/>
      <c r="P26" s="9"/>
      <c r="Q26" s="10"/>
      <c r="R26" s="10"/>
      <c r="S26" s="10"/>
      <c r="T26" s="10"/>
      <c r="U26" s="10"/>
      <c r="V26" s="10"/>
      <c r="W26" s="24">
        <v>49.999999998112429</v>
      </c>
      <c r="X26" s="25"/>
    </row>
    <row r="27" spans="1:24" ht="14.45">
      <c r="A27">
        <v>10.4</v>
      </c>
      <c r="B27">
        <v>2994.1504334314645</v>
      </c>
      <c r="C27">
        <v>9.7492776142256031E-4</v>
      </c>
      <c r="D27">
        <v>9.749277614225603E-2</v>
      </c>
      <c r="E27">
        <v>49.902507223857747</v>
      </c>
      <c r="F27" s="9"/>
      <c r="G27" s="10"/>
      <c r="H27" s="10"/>
      <c r="I27" s="10"/>
      <c r="J27" s="10"/>
      <c r="K27" s="10"/>
      <c r="L27" s="10"/>
      <c r="M27" s="14"/>
      <c r="N27" s="15"/>
      <c r="O27" s="10"/>
      <c r="P27" s="9"/>
      <c r="Q27" s="10"/>
      <c r="R27" s="10"/>
      <c r="S27" s="10"/>
      <c r="T27" s="10"/>
      <c r="U27" s="10"/>
      <c r="V27" s="10"/>
      <c r="W27" s="14"/>
      <c r="X27" s="15"/>
    </row>
    <row r="28" spans="1:24" ht="14.45">
      <c r="A28">
        <v>10.8</v>
      </c>
      <c r="B28">
        <v>2995.3985679620268</v>
      </c>
      <c r="C28">
        <v>7.6690533966223152E-4</v>
      </c>
      <c r="D28">
        <v>7.6690533966223148E-2</v>
      </c>
      <c r="E28">
        <v>49.923309466033778</v>
      </c>
      <c r="F28" s="9"/>
      <c r="G28" s="10"/>
      <c r="H28" s="10"/>
      <c r="I28" s="10"/>
      <c r="J28" s="10"/>
      <c r="K28" s="10"/>
      <c r="L28" s="10"/>
      <c r="M28" s="14"/>
      <c r="N28" s="15"/>
      <c r="O28" s="10"/>
      <c r="P28" s="9"/>
      <c r="Q28" s="10"/>
      <c r="R28" s="10"/>
      <c r="S28" s="10"/>
      <c r="T28" s="10"/>
      <c r="U28" s="10"/>
      <c r="V28" s="10"/>
      <c r="W28" s="14"/>
      <c r="X28" s="15"/>
    </row>
    <row r="29" spans="1:24" thickBot="1">
      <c r="A29">
        <v>11.2</v>
      </c>
      <c r="B29">
        <v>2996.3803853581262</v>
      </c>
      <c r="C29">
        <v>6.0326910697902072E-4</v>
      </c>
      <c r="D29">
        <v>6.0326910697902074E-2</v>
      </c>
      <c r="E29">
        <v>49.939673089302097</v>
      </c>
      <c r="F29" s="11"/>
      <c r="G29" s="12"/>
      <c r="H29" s="12"/>
      <c r="I29" s="12"/>
      <c r="J29" s="12"/>
      <c r="K29" s="12"/>
      <c r="L29" s="12"/>
      <c r="M29" s="16"/>
      <c r="N29" s="17"/>
      <c r="O29" s="10"/>
      <c r="P29" s="11"/>
      <c r="Q29" s="12"/>
      <c r="R29" s="12"/>
      <c r="S29" s="12"/>
      <c r="T29" s="12"/>
      <c r="U29" s="12"/>
      <c r="V29" s="12"/>
      <c r="W29" s="16"/>
      <c r="X29" s="17"/>
    </row>
    <row r="30" spans="1:24" ht="14.45">
      <c r="A30">
        <v>11.6</v>
      </c>
      <c r="B30">
        <v>2997.1527102763771</v>
      </c>
      <c r="C30">
        <v>4.7454828727043681E-4</v>
      </c>
      <c r="D30">
        <v>4.745482872704368E-2</v>
      </c>
      <c r="E30">
        <v>49.952545171272952</v>
      </c>
    </row>
    <row r="31" spans="1:24" ht="14.45">
      <c r="A31">
        <v>12</v>
      </c>
      <c r="B31">
        <v>2997.7602425748701</v>
      </c>
      <c r="C31">
        <v>3.7329290418833993E-4</v>
      </c>
      <c r="D31">
        <v>3.7329290418833989E-2</v>
      </c>
      <c r="E31">
        <v>49.962670709581161</v>
      </c>
    </row>
    <row r="32" spans="1:24" ht="14.45">
      <c r="A32">
        <v>12.4</v>
      </c>
      <c r="B32">
        <v>2998.2381444073621</v>
      </c>
      <c r="C32">
        <v>2.9364259877299564E-4</v>
      </c>
      <c r="D32">
        <v>2.9364259877299563E-2</v>
      </c>
      <c r="E32">
        <v>49.970635740122695</v>
      </c>
    </row>
    <row r="33" spans="1:5" ht="14.45">
      <c r="A33">
        <v>12.8</v>
      </c>
      <c r="B33">
        <v>2998.6140753036552</v>
      </c>
      <c r="C33">
        <v>2.3098744939082565E-4</v>
      </c>
      <c r="D33">
        <v>2.3098744939082566E-2</v>
      </c>
      <c r="E33">
        <v>49.976901255060916</v>
      </c>
    </row>
    <row r="34" spans="1:5" ht="14.45">
      <c r="A34">
        <v>13.2</v>
      </c>
      <c r="B34">
        <v>2998.9097930205148</v>
      </c>
      <c r="C34">
        <v>1.8170116324752391E-4</v>
      </c>
      <c r="D34">
        <v>1.8170116324752392E-2</v>
      </c>
      <c r="E34">
        <v>49.981829883675246</v>
      </c>
    </row>
    <row r="35" spans="1:5">
      <c r="A35">
        <v>13.6</v>
      </c>
      <c r="B35">
        <v>2999.1424128156077</v>
      </c>
      <c r="C35">
        <v>1.4293119739870435E-4</v>
      </c>
      <c r="D35">
        <v>1.4293119739870434E-2</v>
      </c>
      <c r="E35">
        <v>49.985706880260125</v>
      </c>
    </row>
    <row r="36" spans="1:5">
      <c r="A36">
        <v>14</v>
      </c>
      <c r="B36">
        <v>2999.3253980274635</v>
      </c>
      <c r="C36">
        <v>1.124336620894241E-4</v>
      </c>
      <c r="D36">
        <v>1.124336620894241E-2</v>
      </c>
      <c r="E36">
        <v>49.988756633791063</v>
      </c>
    </row>
    <row r="37" spans="1:5">
      <c r="A37">
        <v>14.4</v>
      </c>
      <c r="B37">
        <v>2999.4693392932722</v>
      </c>
      <c r="C37">
        <v>8.8443451121283294E-5</v>
      </c>
      <c r="D37">
        <v>8.8443451121283292E-3</v>
      </c>
      <c r="E37">
        <v>49.991155654887869</v>
      </c>
    </row>
    <row r="38" spans="1:5">
      <c r="A38">
        <v>14.8</v>
      </c>
      <c r="B38">
        <v>2999.5825675033147</v>
      </c>
      <c r="C38">
        <v>6.9572082780879323E-5</v>
      </c>
      <c r="D38">
        <v>6.9572082780879323E-3</v>
      </c>
      <c r="E38">
        <v>49.993042791721912</v>
      </c>
    </row>
    <row r="39" spans="1:5">
      <c r="A39">
        <v>15.2</v>
      </c>
      <c r="B39">
        <v>2999.6716359679931</v>
      </c>
      <c r="C39">
        <v>5.472733866786838E-5</v>
      </c>
      <c r="D39">
        <v>5.4727338667868381E-3</v>
      </c>
      <c r="E39">
        <v>49.994527266133218</v>
      </c>
    </row>
    <row r="40" spans="1:5">
      <c r="A40">
        <v>15.6</v>
      </c>
      <c r="B40">
        <v>2999.7416997038508</v>
      </c>
      <c r="C40">
        <v>4.3050049358170176E-5</v>
      </c>
      <c r="D40">
        <v>4.3050049358170179E-3</v>
      </c>
      <c r="E40">
        <v>49.995694995064184</v>
      </c>
    </row>
    <row r="41" spans="1:5">
      <c r="A41">
        <v>16</v>
      </c>
      <c r="B41">
        <v>2999.7968137905273</v>
      </c>
      <c r="C41">
        <v>3.3864368245426949E-5</v>
      </c>
      <c r="D41">
        <v>3.386436824542695E-3</v>
      </c>
      <c r="E41">
        <v>49.996613563175458</v>
      </c>
    </row>
    <row r="42" spans="1:5">
      <c r="A42">
        <v>16.399999999999999</v>
      </c>
      <c r="B42">
        <v>2999.8401680666443</v>
      </c>
      <c r="C42">
        <v>2.6638655559270356E-5</v>
      </c>
      <c r="D42">
        <v>2.6638655559270354E-3</v>
      </c>
      <c r="E42">
        <v>49.997336134444069</v>
      </c>
    </row>
    <row r="43" spans="1:5">
      <c r="A43">
        <v>16.8</v>
      </c>
      <c r="B43">
        <v>2999.8742717481346</v>
      </c>
      <c r="C43">
        <v>2.0954708644277451E-5</v>
      </c>
      <c r="D43">
        <v>2.095470864427745E-3</v>
      </c>
      <c r="E43">
        <v>49.997904529135575</v>
      </c>
    </row>
    <row r="44" spans="1:5">
      <c r="A44">
        <v>17.2</v>
      </c>
      <c r="B44">
        <v>2999.9010986541593</v>
      </c>
      <c r="C44">
        <v>1.6483557640120811E-5</v>
      </c>
      <c r="D44">
        <v>1.648355764012081E-3</v>
      </c>
      <c r="E44">
        <v>49.998351644235989</v>
      </c>
    </row>
    <row r="45" spans="1:5">
      <c r="A45">
        <v>17.600000000000001</v>
      </c>
      <c r="B45">
        <v>2999.9222014458646</v>
      </c>
      <c r="C45">
        <v>1.2966425689215454E-5</v>
      </c>
      <c r="D45">
        <v>1.2966425689215455E-3</v>
      </c>
      <c r="E45">
        <v>49.998703357431076</v>
      </c>
    </row>
    <row r="46" spans="1:5">
      <c r="A46">
        <v>18</v>
      </c>
      <c r="B46">
        <v>2999.9388014897668</v>
      </c>
      <c r="C46">
        <v>1.019975170558598E-5</v>
      </c>
      <c r="D46">
        <v>1.0199751705585981E-3</v>
      </c>
      <c r="E46">
        <v>49.998980024829443</v>
      </c>
    </row>
    <row r="47" spans="1:5">
      <c r="A47">
        <v>18.399999999999999</v>
      </c>
      <c r="B47">
        <v>2999.9518595467944</v>
      </c>
      <c r="C47">
        <v>8.0234088675750263E-6</v>
      </c>
      <c r="D47">
        <v>8.0234088675750262E-4</v>
      </c>
      <c r="E47">
        <v>49.999197659113243</v>
      </c>
    </row>
    <row r="48" spans="1:5">
      <c r="A48">
        <v>18.8</v>
      </c>
      <c r="B48">
        <v>2999.9621313782641</v>
      </c>
      <c r="C48">
        <v>6.3114369559629593E-6</v>
      </c>
      <c r="D48">
        <v>6.3114369559629597E-4</v>
      </c>
      <c r="E48">
        <v>49.999368856304407</v>
      </c>
    </row>
    <row r="49" spans="1:5">
      <c r="A49">
        <v>19.2</v>
      </c>
      <c r="B49">
        <v>2999.9702114870825</v>
      </c>
      <c r="C49">
        <v>4.9647521529255406E-6</v>
      </c>
      <c r="D49">
        <v>4.9647521529255409E-4</v>
      </c>
      <c r="E49">
        <v>49.999503524784707</v>
      </c>
    </row>
    <row r="50" spans="1:5">
      <c r="A50">
        <v>19.600000000000001</v>
      </c>
      <c r="B50">
        <v>2999.9765675257995</v>
      </c>
      <c r="C50">
        <v>3.9054123667813837E-6</v>
      </c>
      <c r="D50">
        <v>3.9054123667813835E-4</v>
      </c>
      <c r="E50">
        <v>49.999609458763324</v>
      </c>
    </row>
    <row r="51" spans="1:5">
      <c r="A51">
        <v>20</v>
      </c>
      <c r="B51">
        <v>2999.98156736294</v>
      </c>
      <c r="C51">
        <v>3.0721061766641049E-6</v>
      </c>
      <c r="D51">
        <v>3.0721061766641051E-4</v>
      </c>
      <c r="E51">
        <v>49.99969278938233</v>
      </c>
    </row>
    <row r="52" spans="1:5">
      <c r="A52">
        <v>20.399999999999999</v>
      </c>
      <c r="B52">
        <v>2999.9855003741359</v>
      </c>
      <c r="C52">
        <v>2.4166043107186359E-6</v>
      </c>
      <c r="D52">
        <v>2.416604310718636E-4</v>
      </c>
      <c r="E52">
        <v>49.999758339568928</v>
      </c>
    </row>
    <row r="53" spans="1:5">
      <c r="A53">
        <v>20.8</v>
      </c>
      <c r="B53">
        <v>2999.9885941903199</v>
      </c>
      <c r="C53">
        <v>1.9009682799848093E-6</v>
      </c>
      <c r="D53">
        <v>1.9009682799848093E-4</v>
      </c>
      <c r="E53">
        <v>49.999809903172</v>
      </c>
    </row>
    <row r="54" spans="1:5">
      <c r="A54">
        <v>21.2</v>
      </c>
      <c r="B54">
        <v>2999.9910278723278</v>
      </c>
      <c r="C54">
        <v>1.495354612039818E-6</v>
      </c>
      <c r="D54">
        <v>1.4953546120398181E-4</v>
      </c>
      <c r="E54">
        <v>49.999850464538795</v>
      </c>
    </row>
    <row r="55" spans="1:5">
      <c r="A55">
        <v>21.6</v>
      </c>
      <c r="B55">
        <v>2999.9929422743999</v>
      </c>
      <c r="C55">
        <v>1.1762876000048855E-6</v>
      </c>
      <c r="D55">
        <v>1.1762876000048855E-4</v>
      </c>
      <c r="E55">
        <v>49.999882371239998</v>
      </c>
    </row>
    <row r="56" spans="1:5">
      <c r="A56">
        <v>22</v>
      </c>
      <c r="B56">
        <v>2999.9944481964071</v>
      </c>
      <c r="C56">
        <v>9.2530059879095408E-7</v>
      </c>
      <c r="D56">
        <v>9.2530059879095412E-5</v>
      </c>
      <c r="E56">
        <v>49.999907469940119</v>
      </c>
    </row>
    <row r="57" spans="1:5">
      <c r="A57">
        <v>22.4</v>
      </c>
      <c r="B57">
        <v>2999.9956327966147</v>
      </c>
      <c r="C57">
        <v>7.2786723087053036E-7</v>
      </c>
      <c r="D57">
        <v>7.2786723087053034E-5</v>
      </c>
      <c r="E57">
        <v>49.999927213276912</v>
      </c>
    </row>
    <row r="58" spans="1:5">
      <c r="A58">
        <v>22.8</v>
      </c>
      <c r="B58">
        <v>2999.9965646361425</v>
      </c>
      <c r="C58">
        <v>5.7256064296011946E-7</v>
      </c>
      <c r="D58">
        <v>5.7256064296011944E-5</v>
      </c>
      <c r="E58">
        <v>49.999942743935705</v>
      </c>
    </row>
    <row r="59" spans="1:5">
      <c r="A59">
        <v>23.2</v>
      </c>
      <c r="B59">
        <v>2999.9972976470767</v>
      </c>
      <c r="C59">
        <v>4.5039215390260998E-7</v>
      </c>
      <c r="D59">
        <v>4.5039215390261E-5</v>
      </c>
      <c r="E59">
        <v>49.999954960784606</v>
      </c>
    </row>
    <row r="60" spans="1:5">
      <c r="A60">
        <v>23.6</v>
      </c>
      <c r="B60">
        <v>2999.9978742538997</v>
      </c>
      <c r="C60">
        <v>3.5429101666556732E-7</v>
      </c>
      <c r="D60">
        <v>3.5429101666556734E-5</v>
      </c>
      <c r="E60">
        <v>49.999964570898328</v>
      </c>
    </row>
    <row r="61" spans="1:5">
      <c r="A61">
        <v>24</v>
      </c>
      <c r="B61">
        <v>2999.9983278288919</v>
      </c>
      <c r="C61">
        <v>2.7869518463473031E-7</v>
      </c>
      <c r="D61">
        <v>2.7869518463473031E-5</v>
      </c>
      <c r="E61">
        <v>49.999972130481538</v>
      </c>
    </row>
    <row r="62" spans="1:5">
      <c r="A62">
        <v>24.4</v>
      </c>
      <c r="B62">
        <v>2999.9986846236184</v>
      </c>
      <c r="C62">
        <v>2.1922939697876565E-7</v>
      </c>
      <c r="D62">
        <v>2.1922939697876564E-5</v>
      </c>
      <c r="E62">
        <v>49.999978077060305</v>
      </c>
    </row>
    <row r="63" spans="1:5">
      <c r="A63">
        <v>24.8</v>
      </c>
      <c r="B63">
        <v>2999.9989652882905</v>
      </c>
      <c r="C63">
        <v>1.7245195162831702E-7</v>
      </c>
      <c r="D63">
        <v>1.7245195162831701E-5</v>
      </c>
      <c r="E63">
        <v>49.99998275480484</v>
      </c>
    </row>
    <row r="64" spans="1:5">
      <c r="A64">
        <v>25.2</v>
      </c>
      <c r="B64">
        <v>2999.9991860669411</v>
      </c>
      <c r="C64">
        <v>1.3565550984613546E-7</v>
      </c>
      <c r="D64">
        <v>1.3565550984613547E-5</v>
      </c>
      <c r="E64">
        <v>49.999986434449021</v>
      </c>
    </row>
    <row r="65" spans="1:5">
      <c r="A65">
        <v>25.6</v>
      </c>
      <c r="B65">
        <v>2999.9993597375787</v>
      </c>
      <c r="C65">
        <v>1.0671040355215849E-7</v>
      </c>
      <c r="D65">
        <v>1.0671040355215849E-5</v>
      </c>
      <c r="E65">
        <v>49.999989328959643</v>
      </c>
    </row>
    <row r="66" spans="1:5">
      <c r="A66">
        <v>26</v>
      </c>
      <c r="B66">
        <v>2999.9994963517411</v>
      </c>
      <c r="C66">
        <v>8.3941376499783014E-8</v>
      </c>
      <c r="D66">
        <v>8.3941376499783005E-6</v>
      </c>
      <c r="E66">
        <v>49.999991605862348</v>
      </c>
    </row>
    <row r="67" spans="1:5">
      <c r="A67">
        <v>26.4</v>
      </c>
      <c r="B67">
        <v>2999.9996038162471</v>
      </c>
      <c r="C67">
        <v>6.6030625451006657E-8</v>
      </c>
      <c r="D67">
        <v>6.603062545100666E-6</v>
      </c>
      <c r="E67">
        <v>49.999993396937455</v>
      </c>
    </row>
    <row r="68" spans="1:5">
      <c r="A68">
        <v>26.8</v>
      </c>
      <c r="B68">
        <v>2999.999688350822</v>
      </c>
      <c r="C68">
        <v>5.1941529663411988E-8</v>
      </c>
      <c r="D68">
        <v>5.1941529663411984E-6</v>
      </c>
      <c r="E68">
        <v>49.999994805847031</v>
      </c>
    </row>
    <row r="69" spans="1:5">
      <c r="A69">
        <v>27.2</v>
      </c>
      <c r="B69">
        <v>2999.9997548480737</v>
      </c>
      <c r="C69">
        <v>4.0858654379654776E-8</v>
      </c>
      <c r="D69">
        <v>4.0858654379654778E-6</v>
      </c>
      <c r="E69">
        <v>49.999995914134558</v>
      </c>
    </row>
    <row r="70" spans="1:5">
      <c r="A70">
        <v>27.6</v>
      </c>
      <c r="B70">
        <v>2999.9998071566647</v>
      </c>
      <c r="C70">
        <v>3.2140555900725337E-8</v>
      </c>
      <c r="D70">
        <v>3.2140555900725339E-6</v>
      </c>
      <c r="E70">
        <v>49.999996785944411</v>
      </c>
    </row>
    <row r="71" spans="1:5">
      <c r="A71">
        <v>28</v>
      </c>
      <c r="B71">
        <v>2999.9998483040595</v>
      </c>
      <c r="C71">
        <v>2.5282656741677601E-8</v>
      </c>
      <c r="D71">
        <v>2.5282656741677602E-6</v>
      </c>
      <c r="E71">
        <v>49.999997471734325</v>
      </c>
    </row>
    <row r="72" spans="1:5">
      <c r="A72">
        <v>28.4</v>
      </c>
      <c r="B72">
        <v>2999.9998806717467</v>
      </c>
      <c r="C72">
        <v>1.988804219478576E-8</v>
      </c>
      <c r="D72">
        <v>1.9888042194785762E-6</v>
      </c>
      <c r="E72">
        <v>49.999998011195778</v>
      </c>
    </row>
    <row r="73" spans="1:5">
      <c r="A73">
        <v>28.8</v>
      </c>
      <c r="B73">
        <v>2999.9999061330714</v>
      </c>
      <c r="C73">
        <v>1.5644488092485653E-8</v>
      </c>
      <c r="D73">
        <v>1.5644488092485653E-6</v>
      </c>
      <c r="E73">
        <v>49.999998435551191</v>
      </c>
    </row>
    <row r="74" spans="1:5">
      <c r="A74">
        <v>29.2</v>
      </c>
      <c r="B74">
        <v>2999.999926161659</v>
      </c>
      <c r="C74">
        <v>1.2306390205673173E-8</v>
      </c>
      <c r="D74">
        <v>1.2306390205673173E-6</v>
      </c>
      <c r="E74">
        <v>49.999998769360978</v>
      </c>
    </row>
    <row r="75" spans="1:5">
      <c r="A75">
        <v>29.6</v>
      </c>
      <c r="B75">
        <v>2999.9999419167034</v>
      </c>
      <c r="C75">
        <v>9.6805494049390519E-9</v>
      </c>
      <c r="D75">
        <v>9.6805494049390525E-7</v>
      </c>
      <c r="E75">
        <v>49.999999031945059</v>
      </c>
    </row>
    <row r="76" spans="1:5">
      <c r="A76">
        <v>30</v>
      </c>
      <c r="B76">
        <v>2999.9999543100607</v>
      </c>
      <c r="C76">
        <v>7.6149898723563146E-9</v>
      </c>
      <c r="D76">
        <v>7.614989872356315E-7</v>
      </c>
      <c r="E76">
        <v>49.999999238501012</v>
      </c>
    </row>
    <row r="77" spans="1:5">
      <c r="A77">
        <v>30.4</v>
      </c>
      <c r="B77">
        <v>2999.9999640590208</v>
      </c>
      <c r="C77">
        <v>5.9901631953351233E-9</v>
      </c>
      <c r="D77">
        <v>5.9901631953351229E-7</v>
      </c>
      <c r="E77">
        <v>49.999999400983683</v>
      </c>
    </row>
    <row r="78" spans="1:5">
      <c r="A78">
        <v>30.8</v>
      </c>
      <c r="B78">
        <v>2999.9999717278242</v>
      </c>
      <c r="C78">
        <v>4.7120292617860495E-9</v>
      </c>
      <c r="D78">
        <v>4.7120292617860495E-7</v>
      </c>
      <c r="E78">
        <v>49.999999528797076</v>
      </c>
    </row>
    <row r="79" spans="1:5">
      <c r="A79">
        <v>31.2</v>
      </c>
      <c r="B79">
        <v>2999.9999777603189</v>
      </c>
      <c r="C79">
        <v>3.7066134994817769E-9</v>
      </c>
      <c r="D79">
        <v>3.7066134994817766E-7</v>
      </c>
      <c r="E79">
        <v>49.999999629338646</v>
      </c>
    </row>
    <row r="80" spans="1:5">
      <c r="A80">
        <v>31.6</v>
      </c>
      <c r="B80">
        <v>2999.9999825056475</v>
      </c>
      <c r="C80">
        <v>2.9157254488977566E-9</v>
      </c>
      <c r="D80">
        <v>2.9157254488977569E-7</v>
      </c>
      <c r="E80">
        <v>49.999999708427453</v>
      </c>
    </row>
    <row r="81" spans="1:5">
      <c r="A81">
        <v>32</v>
      </c>
      <c r="B81">
        <v>2999.9999862384548</v>
      </c>
      <c r="C81">
        <v>2.2935908733237619E-9</v>
      </c>
      <c r="D81">
        <v>2.2935908733237619E-7</v>
      </c>
      <c r="E81">
        <v>49.999999770640912</v>
      </c>
    </row>
    <row r="82" spans="1:5">
      <c r="A82">
        <v>32.4</v>
      </c>
      <c r="B82">
        <v>2999.9999891747848</v>
      </c>
      <c r="C82">
        <v>1.8042024828444356E-9</v>
      </c>
      <c r="D82">
        <v>1.8042024828444356E-7</v>
      </c>
      <c r="E82">
        <v>49.999999819579749</v>
      </c>
    </row>
    <row r="83" spans="1:5">
      <c r="A83">
        <v>32.799999999999997</v>
      </c>
      <c r="B83">
        <v>2999.9999914845844</v>
      </c>
      <c r="C83">
        <v>1.4192359400108907E-9</v>
      </c>
      <c r="D83">
        <v>1.4192359400108908E-7</v>
      </c>
      <c r="E83">
        <v>49.999999858076407</v>
      </c>
    </row>
    <row r="84" spans="1:5">
      <c r="A84">
        <v>33.200000000000003</v>
      </c>
      <c r="B84">
        <v>2999.999993301537</v>
      </c>
      <c r="C84">
        <v>1.11641053183954E-9</v>
      </c>
      <c r="D84">
        <v>1.11641053183954E-7</v>
      </c>
      <c r="E84">
        <v>49.99999988835895</v>
      </c>
    </row>
    <row r="85" spans="1:5">
      <c r="A85">
        <v>33.6</v>
      </c>
      <c r="B85">
        <v>2999.9999947308024</v>
      </c>
      <c r="C85">
        <v>8.7819962873311213E-10</v>
      </c>
      <c r="D85">
        <v>8.7819962873311214E-8</v>
      </c>
      <c r="E85">
        <v>49.999999912180037</v>
      </c>
    </row>
    <row r="86" spans="1:5">
      <c r="A86">
        <v>34</v>
      </c>
      <c r="B86">
        <v>2999.999995855102</v>
      </c>
      <c r="C86">
        <v>6.9081629553976796E-10</v>
      </c>
      <c r="D86">
        <v>6.9081629553976793E-8</v>
      </c>
      <c r="E86">
        <v>49.999999930918371</v>
      </c>
    </row>
    <row r="87" spans="1:5">
      <c r="A87">
        <v>34.4</v>
      </c>
      <c r="B87">
        <v>2999.9999967395079</v>
      </c>
      <c r="C87">
        <v>5.4341534495037042E-10</v>
      </c>
      <c r="D87">
        <v>5.4341534495037039E-8</v>
      </c>
      <c r="E87">
        <v>49.999999945658466</v>
      </c>
    </row>
    <row r="88" spans="1:5">
      <c r="A88">
        <v>34.799999999999997</v>
      </c>
      <c r="B88">
        <v>2999.9999974352058</v>
      </c>
      <c r="C88">
        <v>4.2746565046905233E-10</v>
      </c>
      <c r="D88">
        <v>4.2746565046905233E-8</v>
      </c>
      <c r="E88">
        <v>49.999999957253429</v>
      </c>
    </row>
    <row r="89" spans="1:5">
      <c r="A89">
        <v>35.200000000000003</v>
      </c>
      <c r="B89">
        <v>2999.9999979824615</v>
      </c>
      <c r="C89">
        <v>3.3625639030789294E-10</v>
      </c>
      <c r="D89">
        <v>3.3625639030789297E-8</v>
      </c>
      <c r="E89">
        <v>49.999999966374361</v>
      </c>
    </row>
    <row r="90" spans="1:5">
      <c r="A90">
        <v>35.6</v>
      </c>
      <c r="B90">
        <v>2999.9999984129481</v>
      </c>
      <c r="C90">
        <v>2.6450864507785741E-10</v>
      </c>
      <c r="D90">
        <v>2.6450864507785739E-8</v>
      </c>
      <c r="E90">
        <v>49.999999973549137</v>
      </c>
    </row>
    <row r="91" spans="1:5">
      <c r="A91">
        <v>36</v>
      </c>
      <c r="B91">
        <v>2999.9999987515807</v>
      </c>
      <c r="C91">
        <v>2.0806986971120819E-10</v>
      </c>
      <c r="D91">
        <v>2.080698697112082E-8</v>
      </c>
      <c r="E91">
        <v>49.999999979193014</v>
      </c>
    </row>
    <row r="92" spans="1:5">
      <c r="A92">
        <v>36.4</v>
      </c>
      <c r="B92">
        <v>2999.9999990179585</v>
      </c>
      <c r="C92">
        <v>1.636735565633238E-10</v>
      </c>
      <c r="D92">
        <v>1.6367355656332381E-8</v>
      </c>
      <c r="E92">
        <v>49.999999983632641</v>
      </c>
    </row>
    <row r="93" spans="1:5">
      <c r="A93">
        <v>36.799999999999997</v>
      </c>
      <c r="B93">
        <v>2999.9999992274988</v>
      </c>
      <c r="C93">
        <v>1.2875017971256316E-10</v>
      </c>
      <c r="D93">
        <v>1.2875017971256316E-8</v>
      </c>
      <c r="E93">
        <v>49.99999998712498</v>
      </c>
    </row>
    <row r="94" spans="1:5">
      <c r="A94">
        <v>37.200000000000003</v>
      </c>
      <c r="B94">
        <v>2999.9999993923293</v>
      </c>
      <c r="C94">
        <v>1.0127847847922736E-10</v>
      </c>
      <c r="D94">
        <v>1.0127847847922736E-8</v>
      </c>
      <c r="E94">
        <v>49.999999989872151</v>
      </c>
    </row>
    <row r="95" spans="1:5">
      <c r="A95">
        <v>37.6</v>
      </c>
      <c r="B95">
        <v>2999.9999995219891</v>
      </c>
      <c r="C95">
        <v>7.9668472898189976E-11</v>
      </c>
      <c r="D95">
        <v>7.9668472898189969E-9</v>
      </c>
      <c r="E95">
        <v>49.999999992033153</v>
      </c>
    </row>
    <row r="96" spans="1:5">
      <c r="A96">
        <v>38</v>
      </c>
      <c r="B96">
        <v>2999.9999996239835</v>
      </c>
      <c r="C96">
        <v>6.2669440430341736E-11</v>
      </c>
      <c r="D96">
        <v>6.2669440430341734E-9</v>
      </c>
      <c r="E96">
        <v>49.999999993733056</v>
      </c>
    </row>
    <row r="97" spans="1:5">
      <c r="A97">
        <v>38.4</v>
      </c>
      <c r="B97">
        <v>2999.999999704215</v>
      </c>
      <c r="C97">
        <v>4.929752787995758E-11</v>
      </c>
      <c r="D97">
        <v>4.929752787995758E-9</v>
      </c>
      <c r="E97">
        <v>49.999999995070247</v>
      </c>
    </row>
    <row r="98" spans="1:5">
      <c r="A98">
        <v>38.799999999999997</v>
      </c>
      <c r="B98">
        <v>2999.9999997673272</v>
      </c>
      <c r="C98">
        <v>3.8778808912079876E-11</v>
      </c>
      <c r="D98">
        <v>3.8778808912079876E-9</v>
      </c>
      <c r="E98">
        <v>49.999999996122121</v>
      </c>
    </row>
    <row r="99" spans="1:5">
      <c r="A99">
        <v>39.200000000000003</v>
      </c>
      <c r="B99">
        <v>2999.9999998169733</v>
      </c>
      <c r="C99">
        <v>3.0504491509217935E-11</v>
      </c>
      <c r="D99">
        <v>3.0504491509217936E-9</v>
      </c>
      <c r="E99">
        <v>49.999999996949555</v>
      </c>
    </row>
    <row r="100" spans="1:5">
      <c r="A100">
        <v>39.6</v>
      </c>
      <c r="B100">
        <v>2999.9999998560256</v>
      </c>
      <c r="C100">
        <v>2.3995682908818893E-11</v>
      </c>
      <c r="D100">
        <v>2.3995682908818894E-9</v>
      </c>
      <c r="E100">
        <v>49.999999997600433</v>
      </c>
    </row>
    <row r="101" spans="1:5">
      <c r="A101">
        <v>40</v>
      </c>
      <c r="B101">
        <v>2999.9999998867461</v>
      </c>
      <c r="C101">
        <v>1.8875672721395489E-11</v>
      </c>
      <c r="D101">
        <v>1.8875672721395489E-9</v>
      </c>
      <c r="E101">
        <v>49.999999998112429</v>
      </c>
    </row>
  </sheetData>
  <mergeCells count="20">
    <mergeCell ref="F2:N2"/>
    <mergeCell ref="P2:X2"/>
    <mergeCell ref="F16:N16"/>
    <mergeCell ref="P16:X16"/>
    <mergeCell ref="M19:N19"/>
    <mergeCell ref="M5:N5"/>
    <mergeCell ref="M6:N6"/>
    <mergeCell ref="M11:N11"/>
    <mergeCell ref="M12:N12"/>
    <mergeCell ref="W5:X5"/>
    <mergeCell ref="W6:X6"/>
    <mergeCell ref="W11:X11"/>
    <mergeCell ref="W12:X12"/>
    <mergeCell ref="M20:N20"/>
    <mergeCell ref="M25:N25"/>
    <mergeCell ref="M26:N26"/>
    <mergeCell ref="W19:X19"/>
    <mergeCell ref="W20:X20"/>
    <mergeCell ref="W25:X25"/>
    <mergeCell ref="W26:X2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Entradas</vt:lpstr>
      <vt:lpstr>Saidas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Ferreira</dc:creator>
  <cp:lastModifiedBy>Daniel Ferreira Costa</cp:lastModifiedBy>
  <dcterms:created xsi:type="dcterms:W3CDTF">2017-04-18T23:00:35Z</dcterms:created>
  <dcterms:modified xsi:type="dcterms:W3CDTF">2017-04-26T19:22:41Z</dcterms:modified>
</cp:coreProperties>
</file>